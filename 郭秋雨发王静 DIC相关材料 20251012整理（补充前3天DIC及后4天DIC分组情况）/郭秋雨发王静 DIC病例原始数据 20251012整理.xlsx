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451例训练集" sheetId="1" r:id="rId1"/>
    <sheet name="282例验证集" sheetId="2" r:id="rId2"/>
  </sheets>
  <definedNames>
    <definedName name="_xlnm._FilterDatabase" localSheetId="0" hidden="1">'451例训练集'!$A$1:$V$452</definedName>
    <definedName name="_xlnm._FilterDatabase" localSheetId="1" hidden="1">'282例验证集'!$A$1:$V$283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<sst xmlns="http://schemas.openxmlformats.org/spreadsheetml/2006/main" count="3991" uniqueCount="266">
  <si>
    <r>
      <rPr>
        <b/>
        <sz val="11"/>
        <color theme="1"/>
        <rFont val="宋体"/>
        <charset val="134"/>
      </rPr>
      <t>序号</t>
    </r>
  </si>
  <si>
    <t>性别</t>
  </si>
  <si>
    <r>
      <rPr>
        <b/>
        <sz val="11"/>
        <color theme="1"/>
        <rFont val="宋体"/>
        <charset val="134"/>
      </rPr>
      <t>年龄</t>
    </r>
  </si>
  <si>
    <t>临床情况</t>
  </si>
  <si>
    <t>d0 DIC</t>
  </si>
  <si>
    <r>
      <rPr>
        <b/>
        <sz val="11"/>
        <color theme="1"/>
        <rFont val="Times New Roman"/>
        <charset val="134"/>
      </rPr>
      <t>DIC</t>
    </r>
    <r>
      <rPr>
        <b/>
        <sz val="11"/>
        <color theme="1"/>
        <rFont val="宋体"/>
        <charset val="134"/>
      </rPr>
      <t>三分类</t>
    </r>
  </si>
  <si>
    <r>
      <rPr>
        <b/>
        <sz val="11"/>
        <color theme="1"/>
        <rFont val="Times New Roman"/>
        <charset val="134"/>
      </rPr>
      <t>DIC</t>
    </r>
    <r>
      <rPr>
        <b/>
        <sz val="11"/>
        <color theme="1"/>
        <rFont val="宋体"/>
        <charset val="134"/>
      </rPr>
      <t>四分类</t>
    </r>
  </si>
  <si>
    <t>d0 TAT</t>
  </si>
  <si>
    <t>d0 TM</t>
  </si>
  <si>
    <t>d0 tPAIC</t>
  </si>
  <si>
    <t>d0 PIC</t>
  </si>
  <si>
    <t>d0 ATIII</t>
  </si>
  <si>
    <t>d0 TAT/ATIII</t>
  </si>
  <si>
    <t>d0 TAT/tPAIC</t>
  </si>
  <si>
    <t>d0 TAT/PIC</t>
  </si>
  <si>
    <t>d0 PT</t>
  </si>
  <si>
    <t>d0 FIB</t>
  </si>
  <si>
    <t>d0 DDi</t>
  </si>
  <si>
    <t>d0 FDP</t>
  </si>
  <si>
    <t>d0 PLT</t>
  </si>
  <si>
    <r>
      <rPr>
        <b/>
        <sz val="11"/>
        <color rgb="FF000000"/>
        <rFont val="宋体"/>
        <charset val="134"/>
      </rPr>
      <t>住院时间（天）</t>
    </r>
  </si>
  <si>
    <r>
      <rPr>
        <b/>
        <sz val="11"/>
        <color rgb="FF000000"/>
        <rFont val="宋体"/>
        <charset val="134"/>
      </rPr>
      <t>院内死亡（</t>
    </r>
    <r>
      <rPr>
        <b/>
        <sz val="11"/>
        <color rgb="FF000000"/>
        <rFont val="Times New Roman"/>
        <charset val="134"/>
      </rPr>
      <t>1</t>
    </r>
    <r>
      <rPr>
        <b/>
        <sz val="11"/>
        <color rgb="FF000000"/>
        <rFont val="宋体"/>
        <charset val="134"/>
      </rPr>
      <t>死亡，</t>
    </r>
    <r>
      <rPr>
        <b/>
        <sz val="11"/>
        <color rgb="FF000000"/>
        <rFont val="Times New Roman"/>
        <charset val="134"/>
      </rPr>
      <t>0</t>
    </r>
    <r>
      <rPr>
        <b/>
        <sz val="11"/>
        <color rgb="FF000000"/>
        <rFont val="宋体"/>
        <charset val="134"/>
      </rPr>
      <t>存活）</t>
    </r>
  </si>
  <si>
    <t>女</t>
  </si>
  <si>
    <r>
      <rPr>
        <sz val="11"/>
        <color theme="1"/>
        <rFont val="宋体"/>
        <charset val="134"/>
      </rPr>
      <t>感染</t>
    </r>
  </si>
  <si>
    <t>non-overt DIC</t>
  </si>
  <si>
    <t>non-DIC</t>
  </si>
  <si>
    <t>男</t>
  </si>
  <si>
    <t>创伤/手术</t>
  </si>
  <si>
    <t>其他</t>
  </si>
  <si>
    <t>overt-DIC</t>
  </si>
  <si>
    <r>
      <rPr>
        <sz val="11"/>
        <color theme="1"/>
        <rFont val="宋体"/>
        <charset val="134"/>
      </rPr>
      <t>实体肿瘤</t>
    </r>
  </si>
  <si>
    <t>pre-DIC</t>
  </si>
  <si>
    <t>pre-DIC 1-3</t>
  </si>
  <si>
    <t>pre-DIC 4-7</t>
  </si>
  <si>
    <r>
      <rPr>
        <sz val="11"/>
        <color theme="1"/>
        <rFont val="宋体"/>
        <charset val="134"/>
      </rPr>
      <t>自身免疫病</t>
    </r>
  </si>
  <si>
    <t>急性胰腺炎</t>
  </si>
  <si>
    <t>实体肿瘤</t>
  </si>
  <si>
    <t>序号</t>
  </si>
  <si>
    <r>
      <rPr>
        <b/>
        <sz val="11"/>
        <color theme="1"/>
        <rFont val="宋体"/>
        <charset val="134"/>
      </rPr>
      <t>性别</t>
    </r>
  </si>
  <si>
    <r>
      <rPr>
        <b/>
        <sz val="11"/>
        <color theme="1"/>
        <rFont val="宋体"/>
        <charset val="134"/>
      </rPr>
      <t>临床情况</t>
    </r>
  </si>
  <si>
    <t>21093288</t>
  </si>
  <si>
    <r>
      <rPr>
        <sz val="11"/>
        <color theme="1"/>
        <rFont val="宋体"/>
        <charset val="134"/>
      </rPr>
      <t>男</t>
    </r>
  </si>
  <si>
    <t>感染</t>
  </si>
  <si>
    <t>21093829</t>
  </si>
  <si>
    <t>21139940</t>
  </si>
  <si>
    <r>
      <rPr>
        <sz val="11"/>
        <color theme="1"/>
        <rFont val="宋体"/>
        <charset val="134"/>
      </rPr>
      <t>女</t>
    </r>
  </si>
  <si>
    <t>21200008</t>
  </si>
  <si>
    <t>自身免疫病</t>
  </si>
  <si>
    <t>21204246</t>
  </si>
  <si>
    <t>21207609</t>
  </si>
  <si>
    <t>21232798</t>
  </si>
  <si>
    <t>21234354</t>
  </si>
  <si>
    <t>21235896</t>
  </si>
  <si>
    <t>21237892</t>
  </si>
  <si>
    <t>22005095</t>
  </si>
  <si>
    <t>22015995</t>
  </si>
  <si>
    <t>22018337</t>
  </si>
  <si>
    <t>22023712</t>
  </si>
  <si>
    <t>22033386</t>
  </si>
  <si>
    <t>22040481</t>
  </si>
  <si>
    <t>22066653</t>
  </si>
  <si>
    <r>
      <rPr>
        <sz val="11"/>
        <color theme="1"/>
        <rFont val="宋体"/>
        <charset val="134"/>
      </rPr>
      <t>创伤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手术</t>
    </r>
  </si>
  <si>
    <t>22068125</t>
  </si>
  <si>
    <t>22068179</t>
  </si>
  <si>
    <t>22071234</t>
  </si>
  <si>
    <t>22073068</t>
  </si>
  <si>
    <t>22081554</t>
  </si>
  <si>
    <t>22096519</t>
  </si>
  <si>
    <t>22099498</t>
  </si>
  <si>
    <t>22107614</t>
  </si>
  <si>
    <t>22108376</t>
  </si>
  <si>
    <t>22118462</t>
  </si>
  <si>
    <t>22120359</t>
  </si>
  <si>
    <t>22122687</t>
  </si>
  <si>
    <t>22126183</t>
  </si>
  <si>
    <t>22131399</t>
  </si>
  <si>
    <t>22132778</t>
  </si>
  <si>
    <t>22133578</t>
  </si>
  <si>
    <t>22134909</t>
  </si>
  <si>
    <t>22140033</t>
  </si>
  <si>
    <t>22140571</t>
  </si>
  <si>
    <t>22141638</t>
  </si>
  <si>
    <t>22145584</t>
  </si>
  <si>
    <t>22149494</t>
  </si>
  <si>
    <t>22149813</t>
  </si>
  <si>
    <t>22151095</t>
  </si>
  <si>
    <t>22153070</t>
  </si>
  <si>
    <t>22159999</t>
  </si>
  <si>
    <t>22163624</t>
  </si>
  <si>
    <t>22165577</t>
  </si>
  <si>
    <t>22168534</t>
  </si>
  <si>
    <t>22172216</t>
  </si>
  <si>
    <t>22175316</t>
  </si>
  <si>
    <t>22186156</t>
  </si>
  <si>
    <t>22187561</t>
  </si>
  <si>
    <t>22189554</t>
  </si>
  <si>
    <t>22194973</t>
  </si>
  <si>
    <t>22198851</t>
  </si>
  <si>
    <t>22198956</t>
  </si>
  <si>
    <t>22200065</t>
  </si>
  <si>
    <t>22203614</t>
  </si>
  <si>
    <t>22203777</t>
  </si>
  <si>
    <t>22204550</t>
  </si>
  <si>
    <t>22205345</t>
  </si>
  <si>
    <t>22205374</t>
  </si>
  <si>
    <t>22205972</t>
  </si>
  <si>
    <t>22206933</t>
  </si>
  <si>
    <t>23000284</t>
  </si>
  <si>
    <t>23000458</t>
  </si>
  <si>
    <t>23000479</t>
  </si>
  <si>
    <t>23000686</t>
  </si>
  <si>
    <t>23001253</t>
  </si>
  <si>
    <t>23001751</t>
  </si>
  <si>
    <t>23003879</t>
  </si>
  <si>
    <t>23004033</t>
  </si>
  <si>
    <t>23004582</t>
  </si>
  <si>
    <t>23004620</t>
  </si>
  <si>
    <t>23004907</t>
  </si>
  <si>
    <t>23005670</t>
  </si>
  <si>
    <t>23005968</t>
  </si>
  <si>
    <t>23006523</t>
  </si>
  <si>
    <t>23006625</t>
  </si>
  <si>
    <t>23007196</t>
  </si>
  <si>
    <t>23007623</t>
  </si>
  <si>
    <t>23007773</t>
  </si>
  <si>
    <t>23008376</t>
  </si>
  <si>
    <t>23009512</t>
  </si>
  <si>
    <t>23013491</t>
  </si>
  <si>
    <t>23014375</t>
  </si>
  <si>
    <t>23015510</t>
  </si>
  <si>
    <t>23015517</t>
  </si>
  <si>
    <t>23016227</t>
  </si>
  <si>
    <t>23017023</t>
  </si>
  <si>
    <t>23020711</t>
  </si>
  <si>
    <t>23021656</t>
  </si>
  <si>
    <t>23023073</t>
  </si>
  <si>
    <t>23023779</t>
  </si>
  <si>
    <t>23024402</t>
  </si>
  <si>
    <t>23026832</t>
  </si>
  <si>
    <t>23028161</t>
  </si>
  <si>
    <t>23029462</t>
  </si>
  <si>
    <t>23031180</t>
  </si>
  <si>
    <t>23032373</t>
  </si>
  <si>
    <t>23032802</t>
  </si>
  <si>
    <t>23033647</t>
  </si>
  <si>
    <t>23036167</t>
  </si>
  <si>
    <t>23038757</t>
  </si>
  <si>
    <t>23039370</t>
  </si>
  <si>
    <t>23040352</t>
  </si>
  <si>
    <t>23042660</t>
  </si>
  <si>
    <t>23042689</t>
  </si>
  <si>
    <t>23043351</t>
  </si>
  <si>
    <t>23044078</t>
  </si>
  <si>
    <t>23044530</t>
  </si>
  <si>
    <t>23046437</t>
  </si>
  <si>
    <t>23047133</t>
  </si>
  <si>
    <t>23047276</t>
  </si>
  <si>
    <t>23048628</t>
  </si>
  <si>
    <t>23051413</t>
  </si>
  <si>
    <t>23052306</t>
  </si>
  <si>
    <t>23052890</t>
  </si>
  <si>
    <t>23053445</t>
  </si>
  <si>
    <t>23053933</t>
  </si>
  <si>
    <t>23053944</t>
  </si>
  <si>
    <t>23055690</t>
  </si>
  <si>
    <t>23056777</t>
  </si>
  <si>
    <t>23057489</t>
  </si>
  <si>
    <t>23058011</t>
  </si>
  <si>
    <t>23058492</t>
  </si>
  <si>
    <t>23060165</t>
  </si>
  <si>
    <t>23062372</t>
  </si>
  <si>
    <t>23062765</t>
  </si>
  <si>
    <t>23063363</t>
  </si>
  <si>
    <t>23065582</t>
  </si>
  <si>
    <t>23065669</t>
  </si>
  <si>
    <t>23066274</t>
  </si>
  <si>
    <t>23067748</t>
  </si>
  <si>
    <t>23067974</t>
  </si>
  <si>
    <t>23068618</t>
  </si>
  <si>
    <t>23069556</t>
  </si>
  <si>
    <t>23070308</t>
  </si>
  <si>
    <t>23072221</t>
  </si>
  <si>
    <t>23074324</t>
  </si>
  <si>
    <t>23079671</t>
  </si>
  <si>
    <t>23080110</t>
  </si>
  <si>
    <t>23081517</t>
  </si>
  <si>
    <t>23082854</t>
  </si>
  <si>
    <t>23083709</t>
  </si>
  <si>
    <t>23083920</t>
  </si>
  <si>
    <t>23084845</t>
  </si>
  <si>
    <t>23086273</t>
  </si>
  <si>
    <t>23087697</t>
  </si>
  <si>
    <t>23090841</t>
  </si>
  <si>
    <t>23091182</t>
  </si>
  <si>
    <t>23091530</t>
  </si>
  <si>
    <t>23092755</t>
  </si>
  <si>
    <t>23094305</t>
  </si>
  <si>
    <t>23095508</t>
  </si>
  <si>
    <t>23095824</t>
  </si>
  <si>
    <t>23097747</t>
  </si>
  <si>
    <t>23098456</t>
  </si>
  <si>
    <t>23100390</t>
  </si>
  <si>
    <t>23102402</t>
  </si>
  <si>
    <t>23103578</t>
  </si>
  <si>
    <t>23106148</t>
  </si>
  <si>
    <t>23106810</t>
  </si>
  <si>
    <t>23106872</t>
  </si>
  <si>
    <t>23107591</t>
  </si>
  <si>
    <t>23107593</t>
  </si>
  <si>
    <t>23108027</t>
  </si>
  <si>
    <t>23109981</t>
  </si>
  <si>
    <t>23111567</t>
  </si>
  <si>
    <t>23112492</t>
  </si>
  <si>
    <t>23112952</t>
  </si>
  <si>
    <t>23115569</t>
  </si>
  <si>
    <t>23115873</t>
  </si>
  <si>
    <t>23116613</t>
  </si>
  <si>
    <t>23116748</t>
  </si>
  <si>
    <t>23117870</t>
  </si>
  <si>
    <t>23121689</t>
  </si>
  <si>
    <t>23122462</t>
  </si>
  <si>
    <t>23122850</t>
  </si>
  <si>
    <t>23125957</t>
  </si>
  <si>
    <t>23128455</t>
  </si>
  <si>
    <t>23132366</t>
  </si>
  <si>
    <t>23133423</t>
  </si>
  <si>
    <t>23137461</t>
  </si>
  <si>
    <t>23144414</t>
  </si>
  <si>
    <t>23145033</t>
  </si>
  <si>
    <t>23146362</t>
  </si>
  <si>
    <t>23148202</t>
  </si>
  <si>
    <t>23148979</t>
  </si>
  <si>
    <t>23151417</t>
  </si>
  <si>
    <t>23153026</t>
  </si>
  <si>
    <t>23154418</t>
  </si>
  <si>
    <t>23154470</t>
  </si>
  <si>
    <t>23154600</t>
  </si>
  <si>
    <t>23154667</t>
  </si>
  <si>
    <t>23154677</t>
  </si>
  <si>
    <t>23158826</t>
  </si>
  <si>
    <t>23162609</t>
  </si>
  <si>
    <t>23169180</t>
  </si>
  <si>
    <t>23169378</t>
  </si>
  <si>
    <t>23169389</t>
  </si>
  <si>
    <t>23170746</t>
  </si>
  <si>
    <t>23171188</t>
  </si>
  <si>
    <t>23173038</t>
  </si>
  <si>
    <t>23173515</t>
  </si>
  <si>
    <t>23175780</t>
  </si>
  <si>
    <t>23177987</t>
  </si>
  <si>
    <t>23178119</t>
  </si>
  <si>
    <t>23180185</t>
  </si>
  <si>
    <t>23181725</t>
  </si>
  <si>
    <t>23183241</t>
  </si>
  <si>
    <t>23183627</t>
  </si>
  <si>
    <t>23184138</t>
  </si>
  <si>
    <t>23185005</t>
  </si>
  <si>
    <t>23185169</t>
  </si>
  <si>
    <t>23185800</t>
  </si>
  <si>
    <t>23187691</t>
  </si>
  <si>
    <t>23194006</t>
  </si>
  <si>
    <t>23195615</t>
  </si>
  <si>
    <t>23195824</t>
  </si>
  <si>
    <t>23197295</t>
  </si>
  <si>
    <t>23203321</t>
  </si>
  <si>
    <t>23204565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</si>
</sst>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8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43" sqref="C43"/>
    </sheetView>
  </sheetViews>
  <sheetFormatPr defaultColWidth="9" defaultRowHeight="13.85"/>
  <cols>
    <col min="1" max="1" width="12.6283185840708" style="13" customWidth="1"/>
    <col min="2" max="2" width="12.6283185840708" style="14" customWidth="1"/>
    <col min="3" max="3" width="12.6283185840708" style="15" customWidth="1"/>
    <col min="4" max="4" width="18.858407079646" customWidth="1"/>
    <col min="5" max="5" width="12.6283185840708" style="16" customWidth="1"/>
    <col min="6" max="6" width="16.070796460177" style="16" customWidth="1"/>
    <col min="7" max="11" width="12.6283185840708" style="16" customWidth="1"/>
    <col min="12" max="12" width="13.5486725663717" style="16" customWidth="1"/>
    <col min="13" max="13" width="14.2743362831858" style="17" customWidth="1"/>
    <col min="14" max="14" width="18.8495575221239" style="17" customWidth="1"/>
    <col min="15" max="15" width="16.6637168141593" style="16" customWidth="1"/>
    <col min="16" max="20" width="12.6283185840708" style="16" customWidth="1"/>
    <col min="21" max="21" width="16.3362831858407" customWidth="1"/>
    <col min="22" max="22" width="28.8141592920354" style="18" customWidth="1"/>
  </cols>
  <sheetData>
    <row r="1" s="12" customFormat="1" ht="13.5" spans="1:22">
      <c r="A1" s="13" t="s">
        <v>0</v>
      </c>
      <c r="B1" s="19" t="s">
        <v>1</v>
      </c>
      <c r="C1" s="20" t="s">
        <v>2</v>
      </c>
      <c r="D1" s="2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23" t="s">
        <v>12</v>
      </c>
      <c r="N1" s="23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11" t="s">
        <v>20</v>
      </c>
      <c r="V1" s="24" t="s">
        <v>21</v>
      </c>
    </row>
    <row r="2" spans="1:22">
      <c r="A2" s="13">
        <v>1002</v>
      </c>
      <c r="B2" s="14" t="s">
        <v>22</v>
      </c>
      <c r="C2" s="15">
        <v>31</v>
      </c>
      <c r="D2" s="15" t="s">
        <v>23</v>
      </c>
      <c r="E2" s="16" t="s">
        <v>24</v>
      </c>
      <c r="F2" s="16" t="s">
        <v>25</v>
      </c>
      <c r="G2" s="16" t="s">
        <v>25</v>
      </c>
      <c r="H2" s="16">
        <v>11.62</v>
      </c>
      <c r="I2" s="16">
        <v>12.19</v>
      </c>
      <c r="J2" s="16">
        <v>1.58</v>
      </c>
      <c r="K2" s="16">
        <v>2.61</v>
      </c>
      <c r="M2" s="17" t="e">
        <f>100*H2/L2</f>
        <v>#DIV/0!</v>
      </c>
      <c r="N2" s="17">
        <f>H2/J2</f>
        <v>7.35443037974683</v>
      </c>
      <c r="O2" s="16">
        <f>H2/K2</f>
        <v>4.45210727969349</v>
      </c>
      <c r="P2" s="16">
        <v>12.4</v>
      </c>
      <c r="Q2" s="16">
        <v>4.03</v>
      </c>
      <c r="R2" s="16">
        <v>0.52</v>
      </c>
      <c r="T2" s="16">
        <v>212</v>
      </c>
      <c r="U2" s="25">
        <v>85</v>
      </c>
      <c r="V2" s="15">
        <v>0</v>
      </c>
    </row>
    <row r="3" spans="1:22">
      <c r="A3" s="13">
        <v>1003</v>
      </c>
      <c r="B3" s="14" t="s">
        <v>26</v>
      </c>
      <c r="C3" s="15">
        <v>78</v>
      </c>
      <c r="D3" s="15" t="s">
        <v>23</v>
      </c>
      <c r="E3" s="16" t="s">
        <v>24</v>
      </c>
      <c r="F3" s="16" t="s">
        <v>25</v>
      </c>
      <c r="G3" s="16" t="s">
        <v>25</v>
      </c>
      <c r="H3" s="16">
        <v>7.68</v>
      </c>
      <c r="I3" s="16">
        <v>42.46</v>
      </c>
      <c r="J3" s="16">
        <v>18.03</v>
      </c>
      <c r="K3" s="16">
        <v>2.55</v>
      </c>
      <c r="L3" s="16">
        <v>82</v>
      </c>
      <c r="M3" s="17">
        <f t="shared" ref="M3:M66" si="0">100*H3/L3</f>
        <v>9.36585365853658</v>
      </c>
      <c r="N3" s="17">
        <f t="shared" ref="N3:N66" si="1">H3/J3</f>
        <v>0.425956738768719</v>
      </c>
      <c r="O3" s="16">
        <f t="shared" ref="O3:O66" si="2">H3/K3</f>
        <v>3.01176470588235</v>
      </c>
      <c r="P3" s="16">
        <v>14.5</v>
      </c>
      <c r="Q3" s="16">
        <v>3.76</v>
      </c>
      <c r="R3" s="16">
        <v>5.26</v>
      </c>
      <c r="S3" s="16">
        <v>19.33</v>
      </c>
      <c r="T3" s="16">
        <v>84</v>
      </c>
      <c r="U3" s="25">
        <v>91</v>
      </c>
      <c r="V3" s="15">
        <v>0</v>
      </c>
    </row>
    <row r="4" spans="1:22">
      <c r="A4" s="13">
        <v>1004</v>
      </c>
      <c r="B4" s="14" t="s">
        <v>26</v>
      </c>
      <c r="C4" s="15">
        <v>78</v>
      </c>
      <c r="D4" s="15" t="s">
        <v>23</v>
      </c>
      <c r="E4" s="16" t="s">
        <v>24</v>
      </c>
      <c r="F4" s="16" t="s">
        <v>25</v>
      </c>
      <c r="G4" s="16" t="s">
        <v>25</v>
      </c>
      <c r="H4" s="16">
        <v>24.52</v>
      </c>
      <c r="I4" s="16">
        <v>24.88</v>
      </c>
      <c r="J4" s="16">
        <v>10.31</v>
      </c>
      <c r="K4" s="16">
        <v>1.4</v>
      </c>
      <c r="M4" s="17" t="e">
        <f t="shared" si="0"/>
        <v>#DIV/0!</v>
      </c>
      <c r="N4" s="17">
        <f t="shared" si="1"/>
        <v>2.37827352085354</v>
      </c>
      <c r="O4" s="16">
        <f t="shared" si="2"/>
        <v>17.5142857142857</v>
      </c>
      <c r="P4" s="16">
        <v>13.8</v>
      </c>
      <c r="Q4" s="16">
        <v>3.3</v>
      </c>
      <c r="R4" s="16">
        <v>3</v>
      </c>
      <c r="T4" s="16">
        <v>175</v>
      </c>
      <c r="U4" s="25">
        <v>91</v>
      </c>
      <c r="V4" s="15">
        <v>0</v>
      </c>
    </row>
    <row r="5" spans="1:22">
      <c r="A5" s="13">
        <v>1006</v>
      </c>
      <c r="B5" s="14" t="s">
        <v>26</v>
      </c>
      <c r="C5" s="15">
        <v>52</v>
      </c>
      <c r="D5" s="15" t="s">
        <v>27</v>
      </c>
      <c r="E5" s="16" t="s">
        <v>24</v>
      </c>
      <c r="F5" s="16" t="s">
        <v>25</v>
      </c>
      <c r="G5" s="16" t="s">
        <v>25</v>
      </c>
      <c r="H5" s="16">
        <v>4.24</v>
      </c>
      <c r="I5" s="16">
        <v>31.9</v>
      </c>
      <c r="J5" s="16">
        <v>7.04</v>
      </c>
      <c r="K5" s="16">
        <v>1.05</v>
      </c>
      <c r="L5" s="16">
        <v>78</v>
      </c>
      <c r="M5" s="17">
        <f t="shared" si="0"/>
        <v>5.43589743589744</v>
      </c>
      <c r="N5" s="17">
        <f t="shared" si="1"/>
        <v>0.602272727272727</v>
      </c>
      <c r="O5" s="16">
        <f t="shared" si="2"/>
        <v>4.03809523809524</v>
      </c>
      <c r="P5" s="16">
        <v>20.9</v>
      </c>
      <c r="Q5" s="16">
        <v>6.01</v>
      </c>
      <c r="R5" s="16">
        <v>2.33</v>
      </c>
      <c r="S5" s="16">
        <v>10.64</v>
      </c>
      <c r="T5" s="16">
        <v>171</v>
      </c>
      <c r="U5" s="25">
        <v>123</v>
      </c>
      <c r="V5" s="15">
        <v>0</v>
      </c>
    </row>
    <row r="6" spans="1:22">
      <c r="A6" s="13">
        <v>1010</v>
      </c>
      <c r="B6" s="14" t="s">
        <v>26</v>
      </c>
      <c r="C6" s="15">
        <v>54</v>
      </c>
      <c r="D6" s="22" t="s">
        <v>28</v>
      </c>
      <c r="E6" s="16" t="s">
        <v>29</v>
      </c>
      <c r="F6" s="16" t="s">
        <v>29</v>
      </c>
      <c r="G6" s="16" t="s">
        <v>29</v>
      </c>
      <c r="H6" s="16">
        <v>2.84</v>
      </c>
      <c r="M6" s="17" t="e">
        <f t="shared" si="0"/>
        <v>#DIV/0!</v>
      </c>
      <c r="N6" s="17" t="e">
        <f t="shared" si="1"/>
        <v>#DIV/0!</v>
      </c>
      <c r="O6" s="16" t="e">
        <f t="shared" si="2"/>
        <v>#DIV/0!</v>
      </c>
      <c r="P6" s="16">
        <v>19.6</v>
      </c>
      <c r="Q6" s="16">
        <v>5.19</v>
      </c>
      <c r="R6" s="16">
        <v>2.53</v>
      </c>
      <c r="T6" s="16">
        <v>80</v>
      </c>
      <c r="U6" s="25">
        <v>29</v>
      </c>
      <c r="V6" s="15">
        <v>0</v>
      </c>
    </row>
    <row r="7" spans="1:22">
      <c r="A7" s="13">
        <v>1011</v>
      </c>
      <c r="B7" s="14" t="s">
        <v>26</v>
      </c>
      <c r="C7" s="15">
        <v>65</v>
      </c>
      <c r="D7" s="15" t="s">
        <v>23</v>
      </c>
      <c r="E7" s="16" t="s">
        <v>24</v>
      </c>
      <c r="F7" s="16" t="s">
        <v>25</v>
      </c>
      <c r="G7" s="16" t="s">
        <v>25</v>
      </c>
      <c r="H7" s="16">
        <v>18.59</v>
      </c>
      <c r="M7" s="17" t="e">
        <f t="shared" si="0"/>
        <v>#DIV/0!</v>
      </c>
      <c r="N7" s="17" t="e">
        <f t="shared" si="1"/>
        <v>#DIV/0!</v>
      </c>
      <c r="O7" s="16" t="e">
        <f t="shared" si="2"/>
        <v>#DIV/0!</v>
      </c>
      <c r="P7" s="16">
        <v>15.1</v>
      </c>
      <c r="Q7" s="16">
        <v>4.75</v>
      </c>
      <c r="R7" s="16">
        <v>4.13</v>
      </c>
      <c r="T7" s="16">
        <v>205</v>
      </c>
      <c r="U7" s="25">
        <v>26</v>
      </c>
      <c r="V7" s="15">
        <v>1</v>
      </c>
    </row>
    <row r="8" spans="1:22">
      <c r="A8" s="13">
        <v>1014</v>
      </c>
      <c r="B8" s="14" t="s">
        <v>26</v>
      </c>
      <c r="C8" s="15">
        <v>49</v>
      </c>
      <c r="D8" s="15" t="s">
        <v>30</v>
      </c>
      <c r="E8" s="16" t="s">
        <v>24</v>
      </c>
      <c r="F8" s="16" t="s">
        <v>25</v>
      </c>
      <c r="G8" s="16" t="s">
        <v>25</v>
      </c>
      <c r="H8" s="16">
        <v>19.04</v>
      </c>
      <c r="I8" s="16">
        <v>7.55</v>
      </c>
      <c r="J8" s="16">
        <v>3.54</v>
      </c>
      <c r="K8" s="16">
        <v>2.73</v>
      </c>
      <c r="L8" s="16">
        <v>59</v>
      </c>
      <c r="M8" s="17">
        <f t="shared" si="0"/>
        <v>32.271186440678</v>
      </c>
      <c r="N8" s="17">
        <f t="shared" si="1"/>
        <v>5.37853107344633</v>
      </c>
      <c r="O8" s="16">
        <f t="shared" si="2"/>
        <v>6.97435897435897</v>
      </c>
      <c r="P8" s="16">
        <v>14.6</v>
      </c>
      <c r="Q8" s="16">
        <v>2.79</v>
      </c>
      <c r="R8" s="16">
        <v>1.12</v>
      </c>
      <c r="T8" s="16">
        <v>128</v>
      </c>
      <c r="U8" s="25">
        <v>17</v>
      </c>
      <c r="V8" s="15">
        <v>0</v>
      </c>
    </row>
    <row r="9" spans="1:22">
      <c r="A9" s="13">
        <v>1015</v>
      </c>
      <c r="B9" s="14" t="s">
        <v>26</v>
      </c>
      <c r="C9" s="15">
        <v>90</v>
      </c>
      <c r="D9" s="15" t="s">
        <v>23</v>
      </c>
      <c r="E9" s="16" t="s">
        <v>24</v>
      </c>
      <c r="F9" s="16" t="s">
        <v>25</v>
      </c>
      <c r="G9" s="16" t="s">
        <v>25</v>
      </c>
      <c r="H9" s="16">
        <v>15.4</v>
      </c>
      <c r="M9" s="17" t="e">
        <f t="shared" si="0"/>
        <v>#DIV/0!</v>
      </c>
      <c r="N9" s="17" t="e">
        <f t="shared" si="1"/>
        <v>#DIV/0!</v>
      </c>
      <c r="O9" s="16" t="e">
        <f t="shared" si="2"/>
        <v>#DIV/0!</v>
      </c>
      <c r="P9" s="16">
        <v>12</v>
      </c>
      <c r="Q9" s="16">
        <v>3.64</v>
      </c>
      <c r="R9" s="16">
        <v>3.4</v>
      </c>
      <c r="T9" s="16">
        <v>168</v>
      </c>
      <c r="U9" s="25">
        <v>50</v>
      </c>
      <c r="V9" s="15">
        <v>0</v>
      </c>
    </row>
    <row r="10" spans="1:22">
      <c r="A10" s="13">
        <v>1016</v>
      </c>
      <c r="B10" s="14" t="s">
        <v>26</v>
      </c>
      <c r="C10" s="15">
        <v>63</v>
      </c>
      <c r="D10" s="15" t="s">
        <v>27</v>
      </c>
      <c r="E10" s="16" t="s">
        <v>24</v>
      </c>
      <c r="F10" s="16" t="s">
        <v>25</v>
      </c>
      <c r="G10" s="16" t="s">
        <v>25</v>
      </c>
      <c r="H10" s="16">
        <v>7.12</v>
      </c>
      <c r="I10" s="16">
        <v>17.4</v>
      </c>
      <c r="J10" s="16">
        <v>15.16</v>
      </c>
      <c r="K10" s="16">
        <v>2.09</v>
      </c>
      <c r="M10" s="17" t="e">
        <f t="shared" si="0"/>
        <v>#DIV/0!</v>
      </c>
      <c r="N10" s="17">
        <f t="shared" si="1"/>
        <v>0.469656992084433</v>
      </c>
      <c r="O10" s="16">
        <f t="shared" si="2"/>
        <v>3.4066985645933</v>
      </c>
      <c r="P10" s="16">
        <v>12.9</v>
      </c>
      <c r="Q10" s="16">
        <v>4.16</v>
      </c>
      <c r="R10" s="16">
        <v>1.29</v>
      </c>
      <c r="T10" s="16">
        <v>134</v>
      </c>
      <c r="U10" s="25">
        <v>18</v>
      </c>
      <c r="V10" s="15">
        <v>0</v>
      </c>
    </row>
    <row r="11" spans="1:22">
      <c r="A11" s="13">
        <v>1018</v>
      </c>
      <c r="B11" s="14" t="s">
        <v>26</v>
      </c>
      <c r="C11" s="15">
        <v>65</v>
      </c>
      <c r="D11" s="15" t="s">
        <v>27</v>
      </c>
      <c r="E11" s="16" t="s">
        <v>24</v>
      </c>
      <c r="F11" s="16" t="s">
        <v>25</v>
      </c>
      <c r="G11" s="16" t="s">
        <v>25</v>
      </c>
      <c r="H11" s="16">
        <v>5.94</v>
      </c>
      <c r="L11" s="16">
        <v>85</v>
      </c>
      <c r="M11" s="17">
        <f t="shared" si="0"/>
        <v>6.98823529411765</v>
      </c>
      <c r="N11" s="17" t="e">
        <f t="shared" si="1"/>
        <v>#DIV/0!</v>
      </c>
      <c r="O11" s="16" t="e">
        <f t="shared" si="2"/>
        <v>#DIV/0!</v>
      </c>
      <c r="P11" s="16">
        <v>12.8</v>
      </c>
      <c r="Q11" s="16">
        <v>4</v>
      </c>
      <c r="R11" s="16">
        <v>2</v>
      </c>
      <c r="S11" s="16">
        <v>7.82</v>
      </c>
      <c r="T11" s="16">
        <v>254</v>
      </c>
      <c r="U11" s="25">
        <v>28</v>
      </c>
      <c r="V11" s="15">
        <v>0</v>
      </c>
    </row>
    <row r="12" spans="1:22">
      <c r="A12" s="13">
        <v>1020</v>
      </c>
      <c r="B12" s="14" t="s">
        <v>26</v>
      </c>
      <c r="C12" s="15">
        <v>44</v>
      </c>
      <c r="D12" s="22" t="s">
        <v>28</v>
      </c>
      <c r="E12" s="16" t="s">
        <v>24</v>
      </c>
      <c r="F12" s="16" t="s">
        <v>31</v>
      </c>
      <c r="G12" s="16" t="s">
        <v>32</v>
      </c>
      <c r="H12" s="16">
        <v>32.81</v>
      </c>
      <c r="I12" s="16">
        <v>28.82</v>
      </c>
      <c r="J12" s="16">
        <v>45.82</v>
      </c>
      <c r="K12" s="16">
        <v>0.22</v>
      </c>
      <c r="L12" s="16">
        <v>45</v>
      </c>
      <c r="M12" s="17">
        <f t="shared" si="0"/>
        <v>72.9111111111111</v>
      </c>
      <c r="N12" s="17">
        <f t="shared" si="1"/>
        <v>0.716062854648625</v>
      </c>
      <c r="O12" s="16">
        <f t="shared" si="2"/>
        <v>149.136363636364</v>
      </c>
      <c r="P12" s="16">
        <v>16.4</v>
      </c>
      <c r="Q12" s="16">
        <v>2.25</v>
      </c>
      <c r="R12" s="16">
        <v>0.77</v>
      </c>
      <c r="T12" s="16">
        <v>52</v>
      </c>
      <c r="U12" s="25">
        <v>9</v>
      </c>
      <c r="V12" s="15">
        <v>1</v>
      </c>
    </row>
    <row r="13" spans="1:22">
      <c r="A13" s="13">
        <v>1022</v>
      </c>
      <c r="B13" s="14" t="s">
        <v>26</v>
      </c>
      <c r="C13" s="15">
        <v>63</v>
      </c>
      <c r="D13" s="22" t="s">
        <v>28</v>
      </c>
      <c r="E13" s="16" t="s">
        <v>24</v>
      </c>
      <c r="F13" s="16" t="s">
        <v>25</v>
      </c>
      <c r="G13" s="16" t="s">
        <v>25</v>
      </c>
      <c r="H13" s="16">
        <v>2.39</v>
      </c>
      <c r="I13" s="16">
        <v>41.38</v>
      </c>
      <c r="J13" s="16">
        <v>33.06</v>
      </c>
      <c r="K13" s="16">
        <v>1.18</v>
      </c>
      <c r="M13" s="17" t="e">
        <f t="shared" si="0"/>
        <v>#DIV/0!</v>
      </c>
      <c r="N13" s="17">
        <f t="shared" si="1"/>
        <v>0.0722928009679371</v>
      </c>
      <c r="O13" s="16">
        <f t="shared" si="2"/>
        <v>2.02542372881356</v>
      </c>
      <c r="P13" s="16">
        <v>11.7</v>
      </c>
      <c r="Q13" s="16">
        <v>8.09</v>
      </c>
      <c r="R13" s="16">
        <v>0.43</v>
      </c>
      <c r="T13" s="16">
        <v>181</v>
      </c>
      <c r="U13" s="25">
        <v>31</v>
      </c>
      <c r="V13" s="15">
        <v>0</v>
      </c>
    </row>
    <row r="14" spans="1:22">
      <c r="A14" s="13">
        <v>1023</v>
      </c>
      <c r="B14" s="14" t="s">
        <v>22</v>
      </c>
      <c r="C14" s="15">
        <v>72</v>
      </c>
      <c r="D14" s="22" t="s">
        <v>28</v>
      </c>
      <c r="E14" s="16" t="s">
        <v>24</v>
      </c>
      <c r="F14" s="16" t="s">
        <v>31</v>
      </c>
      <c r="G14" s="16" t="s">
        <v>33</v>
      </c>
      <c r="H14" s="16">
        <v>11.1</v>
      </c>
      <c r="I14" s="16">
        <v>26.32</v>
      </c>
      <c r="J14" s="16">
        <v>23.5</v>
      </c>
      <c r="K14" s="16">
        <v>0.17</v>
      </c>
      <c r="L14" s="16">
        <v>63</v>
      </c>
      <c r="M14" s="17">
        <f t="shared" si="0"/>
        <v>17.6190476190476</v>
      </c>
      <c r="N14" s="17">
        <f t="shared" si="1"/>
        <v>0.472340425531915</v>
      </c>
      <c r="O14" s="16">
        <f t="shared" si="2"/>
        <v>65.2941176470588</v>
      </c>
      <c r="P14" s="16">
        <v>16</v>
      </c>
      <c r="Q14" s="16">
        <v>1.91</v>
      </c>
      <c r="R14" s="16">
        <v>1.96</v>
      </c>
      <c r="S14" s="16">
        <v>5.06</v>
      </c>
      <c r="T14" s="16">
        <v>85</v>
      </c>
      <c r="U14" s="25">
        <v>19</v>
      </c>
      <c r="V14" s="15">
        <v>1</v>
      </c>
    </row>
    <row r="15" spans="1:22">
      <c r="A15" s="13">
        <v>1025</v>
      </c>
      <c r="B15" s="14" t="s">
        <v>26</v>
      </c>
      <c r="C15" s="15">
        <v>62</v>
      </c>
      <c r="D15" s="15" t="s">
        <v>23</v>
      </c>
      <c r="E15" s="16" t="s">
        <v>24</v>
      </c>
      <c r="F15" s="16" t="s">
        <v>25</v>
      </c>
      <c r="G15" s="16" t="s">
        <v>25</v>
      </c>
      <c r="H15" s="16">
        <v>4.74</v>
      </c>
      <c r="I15" s="16">
        <v>37.58</v>
      </c>
      <c r="J15" s="16">
        <v>20.58</v>
      </c>
      <c r="K15" s="16">
        <v>1.4</v>
      </c>
      <c r="M15" s="17" t="e">
        <f t="shared" si="0"/>
        <v>#DIV/0!</v>
      </c>
      <c r="N15" s="17">
        <f t="shared" si="1"/>
        <v>0.230320699708455</v>
      </c>
      <c r="O15" s="16">
        <f t="shared" si="2"/>
        <v>3.38571428571429</v>
      </c>
      <c r="P15" s="16">
        <v>15.5</v>
      </c>
      <c r="Q15" s="16">
        <v>3.51</v>
      </c>
      <c r="R15" s="16">
        <v>7.89</v>
      </c>
      <c r="T15" s="16">
        <v>198</v>
      </c>
      <c r="U15" s="25">
        <v>12</v>
      </c>
      <c r="V15" s="15">
        <v>1</v>
      </c>
    </row>
    <row r="16" spans="1:22">
      <c r="A16" s="13">
        <v>1029</v>
      </c>
      <c r="B16" s="14" t="s">
        <v>26</v>
      </c>
      <c r="C16" s="15">
        <v>71</v>
      </c>
      <c r="D16" s="15" t="s">
        <v>27</v>
      </c>
      <c r="E16" s="16" t="s">
        <v>29</v>
      </c>
      <c r="F16" s="16" t="s">
        <v>29</v>
      </c>
      <c r="G16" s="16" t="s">
        <v>29</v>
      </c>
      <c r="H16" s="16">
        <v>8.87</v>
      </c>
      <c r="I16" s="16">
        <v>10.98</v>
      </c>
      <c r="J16" s="16">
        <v>13.82</v>
      </c>
      <c r="K16" s="16">
        <v>1.13</v>
      </c>
      <c r="M16" s="17" t="e">
        <f t="shared" si="0"/>
        <v>#DIV/0!</v>
      </c>
      <c r="N16" s="17">
        <f t="shared" si="1"/>
        <v>0.641823444283647</v>
      </c>
      <c r="O16" s="16">
        <f t="shared" si="2"/>
        <v>7.84955752212389</v>
      </c>
      <c r="P16" s="16">
        <v>21.5</v>
      </c>
      <c r="Q16" s="16">
        <v>5.32</v>
      </c>
      <c r="R16" s="16">
        <v>4.75</v>
      </c>
      <c r="S16" s="16">
        <v>19.4</v>
      </c>
      <c r="T16" s="16">
        <v>291</v>
      </c>
      <c r="U16" s="25">
        <v>32</v>
      </c>
      <c r="V16" s="15">
        <v>0</v>
      </c>
    </row>
    <row r="17" spans="1:22">
      <c r="A17" s="13">
        <v>1030</v>
      </c>
      <c r="B17" s="14" t="s">
        <v>22</v>
      </c>
      <c r="C17" s="15">
        <v>83</v>
      </c>
      <c r="D17" s="15" t="s">
        <v>23</v>
      </c>
      <c r="E17" s="16" t="s">
        <v>29</v>
      </c>
      <c r="F17" s="16" t="s">
        <v>29</v>
      </c>
      <c r="G17" s="16" t="s">
        <v>29</v>
      </c>
      <c r="H17" s="16">
        <v>5.85</v>
      </c>
      <c r="I17" s="16">
        <v>59.77</v>
      </c>
      <c r="J17" s="16">
        <v>29.55</v>
      </c>
      <c r="K17" s="16">
        <v>3.67</v>
      </c>
      <c r="L17" s="16">
        <v>76</v>
      </c>
      <c r="M17" s="17">
        <f t="shared" si="0"/>
        <v>7.69736842105263</v>
      </c>
      <c r="N17" s="17">
        <f t="shared" si="1"/>
        <v>0.197969543147208</v>
      </c>
      <c r="O17" s="16">
        <f t="shared" si="2"/>
        <v>1.59400544959128</v>
      </c>
      <c r="P17" s="16">
        <v>16.4</v>
      </c>
      <c r="Q17" s="16">
        <v>3.81</v>
      </c>
      <c r="R17" s="16">
        <v>20</v>
      </c>
      <c r="S17" s="16">
        <v>102.91</v>
      </c>
      <c r="T17" s="16">
        <v>23</v>
      </c>
      <c r="U17" s="25">
        <v>8</v>
      </c>
      <c r="V17" s="15">
        <v>1</v>
      </c>
    </row>
    <row r="18" spans="1:22">
      <c r="A18" s="13">
        <v>1031</v>
      </c>
      <c r="B18" s="14" t="s">
        <v>22</v>
      </c>
      <c r="C18" s="15">
        <v>83</v>
      </c>
      <c r="D18" s="15" t="s">
        <v>23</v>
      </c>
      <c r="E18" s="16" t="s">
        <v>29</v>
      </c>
      <c r="F18" s="16" t="s">
        <v>29</v>
      </c>
      <c r="G18" s="16" t="s">
        <v>29</v>
      </c>
      <c r="H18" s="16">
        <v>8.7</v>
      </c>
      <c r="I18" s="16">
        <v>71.65</v>
      </c>
      <c r="J18" s="16">
        <v>51.04</v>
      </c>
      <c r="K18" s="16">
        <v>1.74</v>
      </c>
      <c r="M18" s="17" t="e">
        <f t="shared" si="0"/>
        <v>#DIV/0!</v>
      </c>
      <c r="N18" s="17">
        <f t="shared" si="1"/>
        <v>0.170454545454545</v>
      </c>
      <c r="O18" s="16">
        <f t="shared" si="2"/>
        <v>5</v>
      </c>
      <c r="P18" s="16">
        <v>14.8</v>
      </c>
      <c r="Q18" s="16">
        <v>2.31</v>
      </c>
      <c r="R18" s="16">
        <v>12.58</v>
      </c>
      <c r="T18" s="16">
        <v>40</v>
      </c>
      <c r="U18" s="25">
        <v>8</v>
      </c>
      <c r="V18" s="15">
        <v>1</v>
      </c>
    </row>
    <row r="19" spans="1:22">
      <c r="A19" s="13">
        <v>1033</v>
      </c>
      <c r="B19" s="14" t="s">
        <v>26</v>
      </c>
      <c r="C19" s="15">
        <v>54</v>
      </c>
      <c r="D19" s="15" t="s">
        <v>27</v>
      </c>
      <c r="E19" s="16" t="s">
        <v>29</v>
      </c>
      <c r="F19" s="16" t="s">
        <v>29</v>
      </c>
      <c r="G19" s="16" t="s">
        <v>29</v>
      </c>
      <c r="H19" s="16">
        <v>97.75</v>
      </c>
      <c r="I19" s="16">
        <v>14.5</v>
      </c>
      <c r="J19" s="16">
        <v>17.94</v>
      </c>
      <c r="K19" s="16">
        <v>1.35</v>
      </c>
      <c r="L19" s="16">
        <v>62</v>
      </c>
      <c r="M19" s="17">
        <f t="shared" si="0"/>
        <v>157.661290322581</v>
      </c>
      <c r="N19" s="17">
        <f t="shared" si="1"/>
        <v>5.44871794871795</v>
      </c>
      <c r="O19" s="16">
        <f t="shared" si="2"/>
        <v>72.4074074074074</v>
      </c>
      <c r="P19" s="16">
        <v>16.9</v>
      </c>
      <c r="Q19" s="16">
        <v>2.33</v>
      </c>
      <c r="R19" s="16">
        <v>12.79</v>
      </c>
      <c r="S19" s="16">
        <v>49.95</v>
      </c>
      <c r="T19" s="16">
        <v>47</v>
      </c>
      <c r="U19" s="25">
        <v>6</v>
      </c>
      <c r="V19" s="15">
        <v>1</v>
      </c>
    </row>
    <row r="20" spans="1:22">
      <c r="A20" s="13">
        <v>1034</v>
      </c>
      <c r="B20" s="14" t="s">
        <v>26</v>
      </c>
      <c r="C20" s="15">
        <v>54</v>
      </c>
      <c r="D20" s="15" t="s">
        <v>27</v>
      </c>
      <c r="E20" s="16" t="s">
        <v>29</v>
      </c>
      <c r="F20" s="16" t="s">
        <v>29</v>
      </c>
      <c r="G20" s="16" t="s">
        <v>29</v>
      </c>
      <c r="H20" s="16">
        <v>40.19</v>
      </c>
      <c r="I20" s="16">
        <v>10.35</v>
      </c>
      <c r="J20" s="16">
        <v>10.59</v>
      </c>
      <c r="K20" s="16">
        <v>3.98</v>
      </c>
      <c r="L20" s="16">
        <v>75</v>
      </c>
      <c r="M20" s="17">
        <f t="shared" si="0"/>
        <v>53.5866666666667</v>
      </c>
      <c r="N20" s="17">
        <f t="shared" si="1"/>
        <v>3.79508970727101</v>
      </c>
      <c r="O20" s="16">
        <f t="shared" si="2"/>
        <v>10.0979899497487</v>
      </c>
      <c r="P20" s="16">
        <v>16.3</v>
      </c>
      <c r="Q20" s="16">
        <v>3.06</v>
      </c>
      <c r="R20" s="16">
        <v>17.84</v>
      </c>
      <c r="S20" s="16">
        <v>77.94</v>
      </c>
      <c r="T20" s="16">
        <v>37</v>
      </c>
      <c r="U20" s="25">
        <v>6</v>
      </c>
      <c r="V20" s="15">
        <v>1</v>
      </c>
    </row>
    <row r="21" spans="1:22">
      <c r="A21" s="13">
        <v>1037</v>
      </c>
      <c r="B21" s="14" t="s">
        <v>22</v>
      </c>
      <c r="C21" s="15">
        <v>66</v>
      </c>
      <c r="D21" s="15" t="s">
        <v>23</v>
      </c>
      <c r="E21" s="16" t="s">
        <v>29</v>
      </c>
      <c r="F21" s="16" t="s">
        <v>29</v>
      </c>
      <c r="G21" s="16" t="s">
        <v>29</v>
      </c>
      <c r="H21" s="16">
        <v>103.9</v>
      </c>
      <c r="I21" s="16">
        <v>24.94</v>
      </c>
      <c r="J21" s="16">
        <v>29.95</v>
      </c>
      <c r="K21" s="16">
        <v>14.53</v>
      </c>
      <c r="L21" s="16">
        <v>76</v>
      </c>
      <c r="M21" s="17">
        <f t="shared" si="0"/>
        <v>136.710526315789</v>
      </c>
      <c r="N21" s="17">
        <f t="shared" si="1"/>
        <v>3.46911519198664</v>
      </c>
      <c r="O21" s="16">
        <f t="shared" si="2"/>
        <v>7.15072264280798</v>
      </c>
      <c r="P21" s="16">
        <v>14.6</v>
      </c>
      <c r="Q21" s="16">
        <v>1.12</v>
      </c>
      <c r="R21" s="16">
        <v>7.41</v>
      </c>
      <c r="T21" s="16">
        <v>16</v>
      </c>
      <c r="U21" s="25">
        <v>45</v>
      </c>
      <c r="V21" s="15">
        <v>0</v>
      </c>
    </row>
    <row r="22" spans="1:22">
      <c r="A22" s="13">
        <v>1038</v>
      </c>
      <c r="B22" s="14" t="s">
        <v>22</v>
      </c>
      <c r="C22" s="15">
        <v>66</v>
      </c>
      <c r="D22" s="15" t="s">
        <v>23</v>
      </c>
      <c r="E22" s="16" t="s">
        <v>24</v>
      </c>
      <c r="F22" s="16" t="s">
        <v>25</v>
      </c>
      <c r="G22" s="16" t="s">
        <v>25</v>
      </c>
      <c r="H22" s="16">
        <v>3.76</v>
      </c>
      <c r="I22" s="16">
        <v>12.98</v>
      </c>
      <c r="J22" s="16">
        <v>13.56</v>
      </c>
      <c r="K22" s="16">
        <v>1.31</v>
      </c>
      <c r="L22" s="16">
        <v>70</v>
      </c>
      <c r="M22" s="17">
        <f t="shared" si="0"/>
        <v>5.37142857142857</v>
      </c>
      <c r="N22" s="17">
        <f t="shared" si="1"/>
        <v>0.277286135693215</v>
      </c>
      <c r="O22" s="16">
        <f t="shared" si="2"/>
        <v>2.87022900763359</v>
      </c>
      <c r="P22" s="16">
        <v>14.7</v>
      </c>
      <c r="Q22" s="16">
        <v>4.22</v>
      </c>
      <c r="R22" s="16">
        <v>4.23</v>
      </c>
      <c r="S22" s="16">
        <v>13.8</v>
      </c>
      <c r="T22" s="16">
        <v>224</v>
      </c>
      <c r="U22" s="25">
        <v>45</v>
      </c>
      <c r="V22" s="15">
        <v>0</v>
      </c>
    </row>
    <row r="23" spans="1:22">
      <c r="A23" s="13">
        <v>1040</v>
      </c>
      <c r="B23" s="14" t="s">
        <v>26</v>
      </c>
      <c r="C23" s="15">
        <v>94</v>
      </c>
      <c r="D23" s="15" t="s">
        <v>27</v>
      </c>
      <c r="E23" s="16" t="s">
        <v>24</v>
      </c>
      <c r="F23" s="16" t="s">
        <v>31</v>
      </c>
      <c r="G23" s="16" t="s">
        <v>32</v>
      </c>
      <c r="H23" s="16">
        <v>29.61</v>
      </c>
      <c r="I23" s="16">
        <v>26.06</v>
      </c>
      <c r="J23" s="16">
        <v>6.53</v>
      </c>
      <c r="K23" s="16">
        <v>0.81</v>
      </c>
      <c r="M23" s="17" t="e">
        <f t="shared" si="0"/>
        <v>#DIV/0!</v>
      </c>
      <c r="N23" s="17">
        <f t="shared" si="1"/>
        <v>4.53445635528331</v>
      </c>
      <c r="O23" s="16">
        <f t="shared" si="2"/>
        <v>36.5555555555556</v>
      </c>
      <c r="P23" s="16">
        <v>16.4</v>
      </c>
      <c r="Q23" s="16">
        <v>1.27</v>
      </c>
      <c r="R23" s="16">
        <v>2.13</v>
      </c>
      <c r="T23" s="16">
        <v>6</v>
      </c>
      <c r="U23" s="25"/>
      <c r="V23" s="15">
        <v>1</v>
      </c>
    </row>
    <row r="24" spans="1:22">
      <c r="A24" s="13">
        <v>1042</v>
      </c>
      <c r="B24" s="14" t="s">
        <v>26</v>
      </c>
      <c r="C24" s="15">
        <v>57</v>
      </c>
      <c r="D24" s="15" t="s">
        <v>23</v>
      </c>
      <c r="E24" s="16" t="s">
        <v>24</v>
      </c>
      <c r="F24" s="16" t="s">
        <v>25</v>
      </c>
      <c r="G24" s="16" t="s">
        <v>25</v>
      </c>
      <c r="H24" s="16">
        <v>7.48</v>
      </c>
      <c r="I24" s="16">
        <v>40.21</v>
      </c>
      <c r="J24" s="16">
        <v>26.52</v>
      </c>
      <c r="K24" s="16">
        <v>1.01</v>
      </c>
      <c r="L24" s="16">
        <v>78</v>
      </c>
      <c r="M24" s="17">
        <f t="shared" si="0"/>
        <v>9.58974358974359</v>
      </c>
      <c r="N24" s="17">
        <f t="shared" si="1"/>
        <v>0.282051282051282</v>
      </c>
      <c r="O24" s="16">
        <f t="shared" si="2"/>
        <v>7.40594059405941</v>
      </c>
      <c r="P24" s="16">
        <v>17.2</v>
      </c>
      <c r="Q24" s="16">
        <v>4.18</v>
      </c>
      <c r="R24" s="16">
        <v>13.54</v>
      </c>
      <c r="S24" s="16">
        <v>32.1</v>
      </c>
      <c r="T24" s="16">
        <v>76</v>
      </c>
      <c r="U24" s="25">
        <v>49</v>
      </c>
      <c r="V24" s="15">
        <v>0</v>
      </c>
    </row>
    <row r="25" spans="1:22">
      <c r="A25" s="13">
        <v>1045</v>
      </c>
      <c r="B25" s="14" t="s">
        <v>26</v>
      </c>
      <c r="C25" s="15">
        <v>31</v>
      </c>
      <c r="D25" s="15" t="s">
        <v>23</v>
      </c>
      <c r="E25" s="16" t="s">
        <v>24</v>
      </c>
      <c r="F25" s="16" t="s">
        <v>25</v>
      </c>
      <c r="G25" s="16" t="s">
        <v>25</v>
      </c>
      <c r="H25" s="16">
        <v>12.54</v>
      </c>
      <c r="I25" s="16">
        <v>8.85</v>
      </c>
      <c r="J25" s="16">
        <v>10.66</v>
      </c>
      <c r="K25" s="16">
        <v>0.67</v>
      </c>
      <c r="M25" s="17" t="e">
        <f t="shared" si="0"/>
        <v>#DIV/0!</v>
      </c>
      <c r="N25" s="17">
        <f t="shared" si="1"/>
        <v>1.17636022514071</v>
      </c>
      <c r="O25" s="16">
        <f t="shared" si="2"/>
        <v>18.7164179104478</v>
      </c>
      <c r="P25" s="16">
        <v>17.6</v>
      </c>
      <c r="Q25" s="16">
        <v>1.56</v>
      </c>
      <c r="R25" s="16">
        <v>0.41</v>
      </c>
      <c r="T25" s="16">
        <v>80</v>
      </c>
      <c r="U25" s="25">
        <v>63</v>
      </c>
      <c r="V25" s="15">
        <v>0</v>
      </c>
    </row>
    <row r="26" spans="1:22">
      <c r="A26" s="13">
        <v>1046</v>
      </c>
      <c r="B26" s="14" t="s">
        <v>26</v>
      </c>
      <c r="C26" s="15">
        <v>31</v>
      </c>
      <c r="D26" s="15" t="s">
        <v>23</v>
      </c>
      <c r="E26" s="16" t="s">
        <v>24</v>
      </c>
      <c r="F26" s="16" t="s">
        <v>25</v>
      </c>
      <c r="G26" s="16" t="s">
        <v>25</v>
      </c>
      <c r="H26" s="16">
        <v>4.61</v>
      </c>
      <c r="I26" s="16">
        <v>12.48</v>
      </c>
      <c r="J26" s="16">
        <v>25.23</v>
      </c>
      <c r="K26" s="16">
        <v>1.33</v>
      </c>
      <c r="M26" s="17" t="e">
        <f t="shared" si="0"/>
        <v>#DIV/0!</v>
      </c>
      <c r="N26" s="17">
        <f t="shared" si="1"/>
        <v>0.182718985334919</v>
      </c>
      <c r="O26" s="16">
        <f t="shared" si="2"/>
        <v>3.46616541353383</v>
      </c>
      <c r="P26" s="16">
        <v>12.8</v>
      </c>
      <c r="Q26" s="16">
        <v>4.96</v>
      </c>
      <c r="R26" s="16">
        <v>1.7</v>
      </c>
      <c r="T26" s="16">
        <v>243</v>
      </c>
      <c r="U26" s="25">
        <v>63</v>
      </c>
      <c r="V26" s="15">
        <v>0</v>
      </c>
    </row>
    <row r="27" spans="1:22">
      <c r="A27" s="13">
        <v>1047</v>
      </c>
      <c r="B27" s="14" t="s">
        <v>26</v>
      </c>
      <c r="C27" s="15">
        <v>69</v>
      </c>
      <c r="D27" s="22" t="s">
        <v>28</v>
      </c>
      <c r="E27" s="16" t="s">
        <v>29</v>
      </c>
      <c r="F27" s="16" t="s">
        <v>29</v>
      </c>
      <c r="G27" s="16" t="s">
        <v>29</v>
      </c>
      <c r="H27" s="16">
        <v>95.97</v>
      </c>
      <c r="I27" s="16">
        <v>18.54</v>
      </c>
      <c r="J27" s="16">
        <v>14.19</v>
      </c>
      <c r="K27" s="16">
        <v>5.38</v>
      </c>
      <c r="L27" s="16">
        <v>63</v>
      </c>
      <c r="M27" s="17">
        <f t="shared" si="0"/>
        <v>152.333333333333</v>
      </c>
      <c r="N27" s="17">
        <f t="shared" si="1"/>
        <v>6.76321353065539</v>
      </c>
      <c r="O27" s="16">
        <f t="shared" si="2"/>
        <v>17.8382899628253</v>
      </c>
      <c r="P27" s="16">
        <v>24.7</v>
      </c>
      <c r="Q27" s="16">
        <v>4.45</v>
      </c>
      <c r="R27" s="16">
        <v>20</v>
      </c>
      <c r="S27" s="16">
        <v>86.01</v>
      </c>
      <c r="T27" s="16">
        <v>237</v>
      </c>
      <c r="U27" s="25">
        <v>8</v>
      </c>
      <c r="V27" s="15">
        <v>1</v>
      </c>
    </row>
    <row r="28" spans="1:22">
      <c r="A28" s="13">
        <v>1048</v>
      </c>
      <c r="B28" s="14" t="s">
        <v>26</v>
      </c>
      <c r="C28" s="15">
        <v>46</v>
      </c>
      <c r="D28" s="15" t="s">
        <v>23</v>
      </c>
      <c r="E28" s="16" t="s">
        <v>24</v>
      </c>
      <c r="F28" s="16" t="s">
        <v>25</v>
      </c>
      <c r="G28" s="16" t="s">
        <v>25</v>
      </c>
      <c r="H28" s="16">
        <v>2.35</v>
      </c>
      <c r="I28" s="16">
        <v>25.71</v>
      </c>
      <c r="J28" s="16">
        <v>9.24</v>
      </c>
      <c r="K28" s="16">
        <v>0.27</v>
      </c>
      <c r="M28" s="17" t="e">
        <f t="shared" si="0"/>
        <v>#DIV/0!</v>
      </c>
      <c r="N28" s="17">
        <f t="shared" si="1"/>
        <v>0.254329004329004</v>
      </c>
      <c r="O28" s="16">
        <f t="shared" si="2"/>
        <v>8.7037037037037</v>
      </c>
      <c r="P28" s="16">
        <v>13.6</v>
      </c>
      <c r="Q28" s="16">
        <v>1.86</v>
      </c>
      <c r="R28" s="16">
        <v>0.43</v>
      </c>
      <c r="T28" s="16">
        <v>191</v>
      </c>
      <c r="U28" s="25">
        <v>90</v>
      </c>
      <c r="V28" s="15">
        <v>0</v>
      </c>
    </row>
    <row r="29" spans="1:22">
      <c r="A29" s="13">
        <v>1049</v>
      </c>
      <c r="B29" s="14" t="s">
        <v>22</v>
      </c>
      <c r="C29" s="15">
        <v>73</v>
      </c>
      <c r="D29" s="15" t="s">
        <v>23</v>
      </c>
      <c r="E29" s="16" t="s">
        <v>24</v>
      </c>
      <c r="F29" s="16" t="s">
        <v>31</v>
      </c>
      <c r="G29" s="16" t="s">
        <v>32</v>
      </c>
      <c r="H29" s="16">
        <v>37.97</v>
      </c>
      <c r="I29" s="16">
        <v>21.68</v>
      </c>
      <c r="J29" s="16">
        <v>44.45</v>
      </c>
      <c r="K29" s="16">
        <v>7.35</v>
      </c>
      <c r="L29" s="16">
        <v>13</v>
      </c>
      <c r="M29" s="17">
        <f t="shared" si="0"/>
        <v>292.076923076923</v>
      </c>
      <c r="N29" s="17">
        <f t="shared" si="1"/>
        <v>0.85421822272216</v>
      </c>
      <c r="O29" s="16">
        <f t="shared" si="2"/>
        <v>5.16598639455782</v>
      </c>
      <c r="P29" s="16">
        <v>15.6</v>
      </c>
      <c r="Q29" s="16">
        <v>2.58</v>
      </c>
      <c r="R29" s="16">
        <v>8.12</v>
      </c>
      <c r="T29" s="16">
        <v>76</v>
      </c>
      <c r="U29" s="25">
        <v>4</v>
      </c>
      <c r="V29" s="15">
        <v>1</v>
      </c>
    </row>
    <row r="30" spans="1:22">
      <c r="A30" s="13">
        <v>1051</v>
      </c>
      <c r="B30" s="14" t="s">
        <v>26</v>
      </c>
      <c r="C30" s="15">
        <v>88</v>
      </c>
      <c r="D30" s="15" t="s">
        <v>23</v>
      </c>
      <c r="E30" s="16" t="s">
        <v>24</v>
      </c>
      <c r="F30" s="16" t="s">
        <v>25</v>
      </c>
      <c r="G30" s="16" t="s">
        <v>25</v>
      </c>
      <c r="H30" s="16">
        <v>2.77</v>
      </c>
      <c r="I30" s="16">
        <v>25.69</v>
      </c>
      <c r="J30" s="16">
        <v>8.77</v>
      </c>
      <c r="K30" s="16">
        <v>0.34</v>
      </c>
      <c r="M30" s="17" t="e">
        <f t="shared" si="0"/>
        <v>#DIV/0!</v>
      </c>
      <c r="N30" s="17">
        <f t="shared" si="1"/>
        <v>0.315849486887115</v>
      </c>
      <c r="O30" s="16">
        <f t="shared" si="2"/>
        <v>8.14705882352941</v>
      </c>
      <c r="P30" s="16">
        <v>11.5</v>
      </c>
      <c r="Q30" s="16">
        <v>2.33</v>
      </c>
      <c r="R30" s="16">
        <v>0.47</v>
      </c>
      <c r="T30" s="16">
        <v>90</v>
      </c>
      <c r="U30" s="25">
        <v>28</v>
      </c>
      <c r="V30" s="15">
        <v>0</v>
      </c>
    </row>
    <row r="31" spans="1:22">
      <c r="A31" s="13">
        <v>1052</v>
      </c>
      <c r="B31" s="14" t="s">
        <v>26</v>
      </c>
      <c r="C31" s="15">
        <v>78</v>
      </c>
      <c r="D31" s="15" t="s">
        <v>23</v>
      </c>
      <c r="E31" s="16" t="s">
        <v>29</v>
      </c>
      <c r="F31" s="16" t="s">
        <v>29</v>
      </c>
      <c r="G31" s="16" t="s">
        <v>29</v>
      </c>
      <c r="H31" s="16">
        <v>7.52</v>
      </c>
      <c r="I31" s="16">
        <v>45.05</v>
      </c>
      <c r="J31" s="16">
        <v>10.93</v>
      </c>
      <c r="K31" s="16">
        <v>1.1</v>
      </c>
      <c r="L31" s="16">
        <v>66</v>
      </c>
      <c r="M31" s="17">
        <f t="shared" si="0"/>
        <v>11.3939393939394</v>
      </c>
      <c r="N31" s="17">
        <f t="shared" si="1"/>
        <v>0.688014638609332</v>
      </c>
      <c r="O31" s="16">
        <f t="shared" si="2"/>
        <v>6.83636363636364</v>
      </c>
      <c r="P31" s="16">
        <v>24.5</v>
      </c>
      <c r="Q31" s="16">
        <v>4.55</v>
      </c>
      <c r="R31" s="16">
        <v>3.4</v>
      </c>
      <c r="S31" s="16">
        <v>10.74</v>
      </c>
      <c r="T31" s="16">
        <v>52</v>
      </c>
      <c r="U31" s="25">
        <v>27</v>
      </c>
      <c r="V31" s="15">
        <v>1</v>
      </c>
    </row>
    <row r="32" spans="1:22">
      <c r="A32" s="13">
        <v>1053</v>
      </c>
      <c r="B32" s="14" t="s">
        <v>26</v>
      </c>
      <c r="C32" s="15">
        <v>56</v>
      </c>
      <c r="D32" s="15" t="s">
        <v>23</v>
      </c>
      <c r="E32" s="16" t="s">
        <v>29</v>
      </c>
      <c r="F32" s="16" t="s">
        <v>29</v>
      </c>
      <c r="G32" s="16" t="s">
        <v>29</v>
      </c>
      <c r="H32" s="16">
        <v>42.72</v>
      </c>
      <c r="I32" s="16">
        <v>50.12</v>
      </c>
      <c r="J32" s="16">
        <v>24.27</v>
      </c>
      <c r="K32" s="16">
        <v>7.32</v>
      </c>
      <c r="L32" s="16">
        <v>105</v>
      </c>
      <c r="M32" s="17">
        <f t="shared" si="0"/>
        <v>40.6857142857143</v>
      </c>
      <c r="N32" s="17">
        <f t="shared" si="1"/>
        <v>1.7601977750309</v>
      </c>
      <c r="O32" s="16">
        <f t="shared" si="2"/>
        <v>5.83606557377049</v>
      </c>
      <c r="P32" s="16">
        <v>11.8</v>
      </c>
      <c r="Q32" s="16">
        <v>3.51</v>
      </c>
      <c r="R32" s="16">
        <v>20</v>
      </c>
      <c r="S32" s="16">
        <v>150</v>
      </c>
      <c r="T32" s="16">
        <v>23</v>
      </c>
      <c r="U32" s="25">
        <v>6</v>
      </c>
      <c r="V32" s="15">
        <v>1</v>
      </c>
    </row>
    <row r="33" spans="1:22">
      <c r="A33" s="13">
        <v>1054</v>
      </c>
      <c r="B33" s="14" t="s">
        <v>26</v>
      </c>
      <c r="C33" s="15">
        <v>71</v>
      </c>
      <c r="D33" s="15" t="s">
        <v>27</v>
      </c>
      <c r="E33" s="16" t="s">
        <v>24</v>
      </c>
      <c r="F33" s="16" t="s">
        <v>31</v>
      </c>
      <c r="G33" s="16" t="s">
        <v>32</v>
      </c>
      <c r="H33" s="16">
        <v>8.1</v>
      </c>
      <c r="I33" s="16">
        <v>23.85</v>
      </c>
      <c r="J33" s="16">
        <v>29.79</v>
      </c>
      <c r="K33" s="16">
        <v>0.7</v>
      </c>
      <c r="L33" s="16">
        <v>75</v>
      </c>
      <c r="M33" s="17">
        <f t="shared" si="0"/>
        <v>10.8</v>
      </c>
      <c r="N33" s="17">
        <f t="shared" si="1"/>
        <v>0.27190332326284</v>
      </c>
      <c r="O33" s="16">
        <f t="shared" si="2"/>
        <v>11.5714285714286</v>
      </c>
      <c r="P33" s="16">
        <v>15.6</v>
      </c>
      <c r="Q33" s="16">
        <v>6.64</v>
      </c>
      <c r="R33" s="16">
        <v>2.27</v>
      </c>
      <c r="S33" s="16">
        <v>9.09</v>
      </c>
      <c r="T33" s="16">
        <v>24</v>
      </c>
      <c r="U33" s="25">
        <v>4</v>
      </c>
      <c r="V33" s="15">
        <v>1</v>
      </c>
    </row>
    <row r="34" spans="1:22">
      <c r="A34" s="13">
        <v>1055</v>
      </c>
      <c r="B34" s="14" t="s">
        <v>26</v>
      </c>
      <c r="C34" s="15">
        <v>61</v>
      </c>
      <c r="D34" s="22" t="s">
        <v>28</v>
      </c>
      <c r="E34" s="16" t="s">
        <v>24</v>
      </c>
      <c r="F34" s="16" t="s">
        <v>31</v>
      </c>
      <c r="G34" s="16" t="s">
        <v>33</v>
      </c>
      <c r="H34" s="16">
        <v>19.77</v>
      </c>
      <c r="I34" s="16">
        <v>25.84</v>
      </c>
      <c r="J34" s="16">
        <v>52.84</v>
      </c>
      <c r="K34" s="16">
        <v>0.76</v>
      </c>
      <c r="L34" s="16">
        <v>66</v>
      </c>
      <c r="M34" s="17">
        <f t="shared" si="0"/>
        <v>29.9545454545455</v>
      </c>
      <c r="N34" s="17">
        <f t="shared" si="1"/>
        <v>0.374148372445117</v>
      </c>
      <c r="O34" s="16">
        <f t="shared" si="2"/>
        <v>26.0131578947368</v>
      </c>
      <c r="P34" s="16">
        <v>15.6</v>
      </c>
      <c r="Q34" s="16">
        <v>6.14</v>
      </c>
      <c r="R34" s="16">
        <v>2.69</v>
      </c>
      <c r="S34" s="16">
        <v>10.05</v>
      </c>
      <c r="T34" s="16">
        <v>210</v>
      </c>
      <c r="U34" s="25">
        <v>13</v>
      </c>
      <c r="V34" s="15">
        <v>1</v>
      </c>
    </row>
    <row r="35" spans="1:22">
      <c r="A35" s="13">
        <v>1056</v>
      </c>
      <c r="B35" s="14" t="s">
        <v>26</v>
      </c>
      <c r="C35" s="15">
        <v>83</v>
      </c>
      <c r="D35" s="15" t="s">
        <v>23</v>
      </c>
      <c r="E35" s="16" t="s">
        <v>24</v>
      </c>
      <c r="F35" s="16" t="s">
        <v>25</v>
      </c>
      <c r="G35" s="16" t="s">
        <v>25</v>
      </c>
      <c r="H35" s="16">
        <v>1.95</v>
      </c>
      <c r="I35" s="16">
        <v>22.64</v>
      </c>
      <c r="J35" s="16">
        <v>3.76</v>
      </c>
      <c r="K35" s="16">
        <v>1.03</v>
      </c>
      <c r="L35" s="16">
        <v>42</v>
      </c>
      <c r="M35" s="17">
        <f t="shared" si="0"/>
        <v>4.64285714285714</v>
      </c>
      <c r="N35" s="17">
        <f t="shared" si="1"/>
        <v>0.518617021276596</v>
      </c>
      <c r="O35" s="16">
        <f t="shared" si="2"/>
        <v>1.89320388349515</v>
      </c>
      <c r="P35" s="16">
        <v>14.4</v>
      </c>
      <c r="Q35" s="16">
        <v>1.89</v>
      </c>
      <c r="R35" s="16">
        <v>0.63</v>
      </c>
      <c r="T35" s="16">
        <v>198</v>
      </c>
      <c r="U35" s="25">
        <v>44</v>
      </c>
      <c r="V35" s="15">
        <v>0</v>
      </c>
    </row>
    <row r="36" spans="1:22">
      <c r="A36" s="13">
        <v>1058</v>
      </c>
      <c r="B36" s="14" t="s">
        <v>22</v>
      </c>
      <c r="C36" s="15">
        <v>67</v>
      </c>
      <c r="D36" s="15" t="s">
        <v>23</v>
      </c>
      <c r="E36" s="16" t="s">
        <v>29</v>
      </c>
      <c r="F36" s="16" t="s">
        <v>29</v>
      </c>
      <c r="G36" s="16" t="s">
        <v>29</v>
      </c>
      <c r="H36" s="16">
        <v>53.47</v>
      </c>
      <c r="I36" s="16">
        <v>15.84</v>
      </c>
      <c r="J36" s="16">
        <v>1.17</v>
      </c>
      <c r="K36" s="16">
        <v>5.19</v>
      </c>
      <c r="L36" s="16">
        <v>84</v>
      </c>
      <c r="M36" s="17">
        <f t="shared" si="0"/>
        <v>63.6547619047619</v>
      </c>
      <c r="N36" s="17">
        <f t="shared" si="1"/>
        <v>45.7008547008547</v>
      </c>
      <c r="O36" s="16">
        <f t="shared" si="2"/>
        <v>10.3025048169557</v>
      </c>
      <c r="P36" s="16">
        <v>14.4</v>
      </c>
      <c r="Q36" s="16">
        <v>1.66</v>
      </c>
      <c r="R36" s="16">
        <v>20</v>
      </c>
      <c r="S36" s="16">
        <v>150</v>
      </c>
      <c r="T36" s="16">
        <v>47</v>
      </c>
      <c r="U36" s="25">
        <v>21</v>
      </c>
      <c r="V36" s="15">
        <v>0</v>
      </c>
    </row>
    <row r="37" spans="1:22">
      <c r="A37" s="13">
        <v>1062</v>
      </c>
      <c r="B37" s="14" t="s">
        <v>22</v>
      </c>
      <c r="C37" s="15">
        <v>64</v>
      </c>
      <c r="D37" s="22" t="s">
        <v>28</v>
      </c>
      <c r="E37" s="16" t="s">
        <v>24</v>
      </c>
      <c r="F37" s="16" t="s">
        <v>25</v>
      </c>
      <c r="G37" s="16" t="s">
        <v>25</v>
      </c>
      <c r="H37" s="16">
        <v>2.66</v>
      </c>
      <c r="I37" s="16">
        <v>10.91</v>
      </c>
      <c r="J37" s="16">
        <v>1.43</v>
      </c>
      <c r="K37" s="16">
        <v>5.18</v>
      </c>
      <c r="M37" s="17" t="e">
        <f t="shared" si="0"/>
        <v>#DIV/0!</v>
      </c>
      <c r="N37" s="17">
        <f t="shared" si="1"/>
        <v>1.86013986013986</v>
      </c>
      <c r="O37" s="16">
        <f t="shared" si="2"/>
        <v>0.513513513513514</v>
      </c>
      <c r="P37" s="16">
        <v>14.3</v>
      </c>
      <c r="Q37" s="16">
        <v>8.45</v>
      </c>
      <c r="R37" s="16">
        <v>0.72</v>
      </c>
      <c r="S37" s="16">
        <v>8.83</v>
      </c>
      <c r="T37" s="16">
        <v>471</v>
      </c>
      <c r="U37" s="25">
        <v>30</v>
      </c>
      <c r="V37" s="15">
        <v>0</v>
      </c>
    </row>
    <row r="38" spans="1:22">
      <c r="A38" s="13">
        <v>1063</v>
      </c>
      <c r="B38" s="14" t="s">
        <v>22</v>
      </c>
      <c r="C38" s="15">
        <v>81</v>
      </c>
      <c r="D38" s="15" t="s">
        <v>23</v>
      </c>
      <c r="E38" s="16" t="s">
        <v>24</v>
      </c>
      <c r="F38" s="16" t="s">
        <v>25</v>
      </c>
      <c r="G38" s="16" t="s">
        <v>25</v>
      </c>
      <c r="H38" s="16">
        <v>3.16</v>
      </c>
      <c r="I38" s="16">
        <v>15</v>
      </c>
      <c r="J38" s="16">
        <v>17.06</v>
      </c>
      <c r="K38" s="16">
        <v>0.45</v>
      </c>
      <c r="L38" s="16">
        <v>63</v>
      </c>
      <c r="M38" s="17">
        <f t="shared" si="0"/>
        <v>5.01587301587302</v>
      </c>
      <c r="N38" s="17">
        <f t="shared" si="1"/>
        <v>0.185228604923798</v>
      </c>
      <c r="O38" s="16">
        <f t="shared" si="2"/>
        <v>7.02222222222222</v>
      </c>
      <c r="P38" s="16">
        <v>15.1</v>
      </c>
      <c r="Q38" s="16">
        <v>1.8</v>
      </c>
      <c r="R38" s="16">
        <v>1.57</v>
      </c>
      <c r="S38" s="16">
        <v>4.65</v>
      </c>
      <c r="T38" s="16">
        <v>37</v>
      </c>
      <c r="U38" s="25">
        <v>96</v>
      </c>
      <c r="V38" s="15">
        <v>1</v>
      </c>
    </row>
    <row r="39" spans="1:22">
      <c r="A39" s="13">
        <v>1064</v>
      </c>
      <c r="B39" s="14" t="s">
        <v>22</v>
      </c>
      <c r="C39" s="15">
        <v>81</v>
      </c>
      <c r="D39" s="15" t="s">
        <v>23</v>
      </c>
      <c r="E39" s="16" t="s">
        <v>24</v>
      </c>
      <c r="F39" s="16" t="s">
        <v>31</v>
      </c>
      <c r="G39" s="16" t="s">
        <v>32</v>
      </c>
      <c r="H39" s="16">
        <v>12.03</v>
      </c>
      <c r="I39" s="16">
        <v>22.03</v>
      </c>
      <c r="J39" s="16">
        <v>14.32</v>
      </c>
      <c r="K39" s="16">
        <v>1.44</v>
      </c>
      <c r="L39" s="16">
        <v>93</v>
      </c>
      <c r="M39" s="17">
        <f t="shared" si="0"/>
        <v>12.9354838709677</v>
      </c>
      <c r="N39" s="17">
        <f t="shared" si="1"/>
        <v>0.840083798882681</v>
      </c>
      <c r="O39" s="16">
        <f t="shared" si="2"/>
        <v>8.35416666666667</v>
      </c>
      <c r="P39" s="16">
        <v>14</v>
      </c>
      <c r="Q39" s="16">
        <v>2.53</v>
      </c>
      <c r="R39" s="16">
        <v>2.46</v>
      </c>
      <c r="S39" s="16">
        <v>10.87</v>
      </c>
      <c r="T39" s="16">
        <v>39</v>
      </c>
      <c r="U39" s="25">
        <v>96</v>
      </c>
      <c r="V39" s="15">
        <v>1</v>
      </c>
    </row>
    <row r="40" spans="1:22">
      <c r="A40" s="13">
        <v>1067</v>
      </c>
      <c r="B40" s="14" t="s">
        <v>22</v>
      </c>
      <c r="C40" s="15">
        <v>67</v>
      </c>
      <c r="D40" s="15" t="s">
        <v>34</v>
      </c>
      <c r="E40" s="16" t="s">
        <v>29</v>
      </c>
      <c r="F40" s="16" t="s">
        <v>29</v>
      </c>
      <c r="G40" s="16" t="s">
        <v>29</v>
      </c>
      <c r="H40" s="16">
        <v>54.58</v>
      </c>
      <c r="I40" s="16">
        <v>15.95</v>
      </c>
      <c r="J40" s="16">
        <v>28.35</v>
      </c>
      <c r="K40" s="16">
        <v>0.82</v>
      </c>
      <c r="L40" s="16">
        <v>42</v>
      </c>
      <c r="M40" s="17">
        <f t="shared" si="0"/>
        <v>129.952380952381</v>
      </c>
      <c r="N40" s="17">
        <f t="shared" si="1"/>
        <v>1.92522045855379</v>
      </c>
      <c r="O40" s="16">
        <f t="shared" si="2"/>
        <v>66.5609756097561</v>
      </c>
      <c r="P40" s="16">
        <v>18.2</v>
      </c>
      <c r="Q40" s="16">
        <v>2.06</v>
      </c>
      <c r="R40" s="16">
        <v>4.93</v>
      </c>
      <c r="S40" s="16">
        <v>13.91</v>
      </c>
      <c r="T40" s="16">
        <v>21</v>
      </c>
      <c r="U40" s="25">
        <v>19</v>
      </c>
      <c r="V40" s="15">
        <v>1</v>
      </c>
    </row>
    <row r="41" spans="1:22">
      <c r="A41" s="13">
        <v>1068</v>
      </c>
      <c r="B41" s="14" t="s">
        <v>26</v>
      </c>
      <c r="C41" s="15">
        <v>41</v>
      </c>
      <c r="D41" s="15" t="s">
        <v>23</v>
      </c>
      <c r="E41" s="16" t="s">
        <v>24</v>
      </c>
      <c r="F41" s="16" t="s">
        <v>25</v>
      </c>
      <c r="G41" s="16" t="s">
        <v>25</v>
      </c>
      <c r="H41" s="16">
        <v>10.62</v>
      </c>
      <c r="I41" s="16">
        <v>10.54</v>
      </c>
      <c r="J41" s="16">
        <v>18.34</v>
      </c>
      <c r="K41" s="16">
        <v>0.78</v>
      </c>
      <c r="L41" s="16">
        <v>60</v>
      </c>
      <c r="M41" s="17">
        <f t="shared" si="0"/>
        <v>17.7</v>
      </c>
      <c r="N41" s="17">
        <f t="shared" si="1"/>
        <v>0.579062159214831</v>
      </c>
      <c r="O41" s="16">
        <f t="shared" si="2"/>
        <v>13.6153846153846</v>
      </c>
      <c r="P41" s="16">
        <v>14.9</v>
      </c>
      <c r="Q41" s="16">
        <v>2.05</v>
      </c>
      <c r="R41" s="16">
        <v>1.72</v>
      </c>
      <c r="S41" s="16">
        <v>6.23</v>
      </c>
      <c r="T41" s="16">
        <v>84</v>
      </c>
      <c r="U41" s="25">
        <v>30</v>
      </c>
      <c r="V41" s="15">
        <v>1</v>
      </c>
    </row>
    <row r="42" spans="1:22">
      <c r="A42" s="13">
        <v>1069</v>
      </c>
      <c r="B42" s="14" t="s">
        <v>26</v>
      </c>
      <c r="C42" s="15">
        <v>51</v>
      </c>
      <c r="D42" s="15" t="s">
        <v>23</v>
      </c>
      <c r="E42" s="16" t="s">
        <v>24</v>
      </c>
      <c r="F42" s="16" t="s">
        <v>31</v>
      </c>
      <c r="G42" s="16" t="s">
        <v>32</v>
      </c>
      <c r="H42" s="16">
        <v>18.2</v>
      </c>
      <c r="I42" s="16">
        <v>35.09</v>
      </c>
      <c r="J42" s="16">
        <v>15.64</v>
      </c>
      <c r="K42" s="16">
        <v>0.96</v>
      </c>
      <c r="L42" s="16">
        <v>31</v>
      </c>
      <c r="M42" s="17">
        <f t="shared" si="0"/>
        <v>58.7096774193548</v>
      </c>
      <c r="N42" s="17">
        <f t="shared" si="1"/>
        <v>1.16368286445013</v>
      </c>
      <c r="O42" s="16">
        <f t="shared" si="2"/>
        <v>18.9583333333333</v>
      </c>
      <c r="P42" s="16">
        <v>16.5</v>
      </c>
      <c r="Q42" s="16">
        <v>1.08</v>
      </c>
      <c r="R42" s="16">
        <v>0.7</v>
      </c>
      <c r="T42" s="16">
        <v>32</v>
      </c>
      <c r="U42" s="25">
        <v>8</v>
      </c>
      <c r="V42" s="15">
        <v>1</v>
      </c>
    </row>
    <row r="43" spans="1:22">
      <c r="A43" s="13">
        <v>1072</v>
      </c>
      <c r="B43" s="14" t="s">
        <v>26</v>
      </c>
      <c r="C43" s="15">
        <v>88</v>
      </c>
      <c r="D43" s="15" t="s">
        <v>23</v>
      </c>
      <c r="E43" s="16" t="s">
        <v>24</v>
      </c>
      <c r="F43" s="16" t="s">
        <v>25</v>
      </c>
      <c r="G43" s="16" t="s">
        <v>25</v>
      </c>
      <c r="H43" s="16">
        <v>4.9</v>
      </c>
      <c r="I43" s="16">
        <v>26.13</v>
      </c>
      <c r="J43" s="16">
        <v>9.77</v>
      </c>
      <c r="K43" s="16">
        <v>0.83</v>
      </c>
      <c r="M43" s="17" t="e">
        <f t="shared" si="0"/>
        <v>#DIV/0!</v>
      </c>
      <c r="N43" s="17">
        <f t="shared" si="1"/>
        <v>0.501535312180143</v>
      </c>
      <c r="O43" s="16">
        <f t="shared" si="2"/>
        <v>5.90361445783133</v>
      </c>
      <c r="P43" s="16">
        <v>12.8</v>
      </c>
      <c r="Q43" s="16">
        <v>3.07</v>
      </c>
      <c r="R43" s="16">
        <v>0.76</v>
      </c>
      <c r="T43" s="16">
        <v>192</v>
      </c>
      <c r="U43" s="25">
        <v>53</v>
      </c>
      <c r="V43" s="15">
        <v>0</v>
      </c>
    </row>
    <row r="44" spans="1:22">
      <c r="A44" s="13">
        <v>1073</v>
      </c>
      <c r="B44" s="14" t="s">
        <v>26</v>
      </c>
      <c r="C44" s="15">
        <v>33</v>
      </c>
      <c r="D44" s="15" t="s">
        <v>23</v>
      </c>
      <c r="E44" s="16" t="s">
        <v>29</v>
      </c>
      <c r="F44" s="16" t="s">
        <v>29</v>
      </c>
      <c r="G44" s="16" t="s">
        <v>29</v>
      </c>
      <c r="H44" s="16">
        <v>12.23</v>
      </c>
      <c r="I44" s="16">
        <v>34.98</v>
      </c>
      <c r="J44" s="16">
        <v>8.03</v>
      </c>
      <c r="K44" s="16">
        <v>1.17</v>
      </c>
      <c r="M44" s="17" t="e">
        <f t="shared" si="0"/>
        <v>#DIV/0!</v>
      </c>
      <c r="N44" s="17">
        <f t="shared" si="1"/>
        <v>1.52303860523039</v>
      </c>
      <c r="O44" s="16">
        <f t="shared" si="2"/>
        <v>10.4529914529915</v>
      </c>
      <c r="P44" s="16">
        <v>20.7</v>
      </c>
      <c r="Q44" s="16">
        <v>3.97</v>
      </c>
      <c r="R44" s="16">
        <v>7.06</v>
      </c>
      <c r="T44" s="16">
        <v>18</v>
      </c>
      <c r="U44" s="25">
        <v>3</v>
      </c>
      <c r="V44" s="15">
        <v>1</v>
      </c>
    </row>
    <row r="45" spans="1:22">
      <c r="A45" s="13">
        <v>1074</v>
      </c>
      <c r="B45" s="14" t="s">
        <v>26</v>
      </c>
      <c r="C45" s="15">
        <v>73</v>
      </c>
      <c r="D45" s="15" t="s">
        <v>27</v>
      </c>
      <c r="E45" s="16" t="s">
        <v>24</v>
      </c>
      <c r="F45" s="16" t="s">
        <v>25</v>
      </c>
      <c r="G45" s="16" t="s">
        <v>25</v>
      </c>
      <c r="H45" s="16">
        <v>5.61</v>
      </c>
      <c r="I45" s="16">
        <v>8.47</v>
      </c>
      <c r="J45" s="16">
        <v>5.19</v>
      </c>
      <c r="K45" s="16">
        <v>0.64</v>
      </c>
      <c r="L45" s="16">
        <v>53</v>
      </c>
      <c r="M45" s="17">
        <f t="shared" si="0"/>
        <v>10.5849056603774</v>
      </c>
      <c r="N45" s="17">
        <f t="shared" si="1"/>
        <v>1.08092485549133</v>
      </c>
      <c r="O45" s="16">
        <f t="shared" si="2"/>
        <v>8.765625</v>
      </c>
      <c r="P45" s="16">
        <v>13.2</v>
      </c>
      <c r="Q45" s="16">
        <v>3.23</v>
      </c>
      <c r="R45" s="16">
        <v>1.79</v>
      </c>
      <c r="S45" s="16">
        <v>6</v>
      </c>
      <c r="T45" s="16">
        <v>104</v>
      </c>
      <c r="U45" s="25">
        <v>18</v>
      </c>
      <c r="V45" s="15">
        <v>0</v>
      </c>
    </row>
    <row r="46" spans="1:22">
      <c r="A46" s="13">
        <v>1075</v>
      </c>
      <c r="B46" s="14" t="s">
        <v>26</v>
      </c>
      <c r="C46" s="15">
        <v>71</v>
      </c>
      <c r="D46" s="15" t="s">
        <v>30</v>
      </c>
      <c r="E46" s="16" t="s">
        <v>24</v>
      </c>
      <c r="F46" s="16" t="s">
        <v>25</v>
      </c>
      <c r="G46" s="16" t="s">
        <v>25</v>
      </c>
      <c r="H46" s="16">
        <v>33.82</v>
      </c>
      <c r="I46" s="16">
        <v>7.5</v>
      </c>
      <c r="J46" s="16">
        <v>16.83</v>
      </c>
      <c r="K46" s="16">
        <v>0.67</v>
      </c>
      <c r="M46" s="17" t="e">
        <f t="shared" si="0"/>
        <v>#DIV/0!</v>
      </c>
      <c r="N46" s="17">
        <f t="shared" si="1"/>
        <v>2.00950683303624</v>
      </c>
      <c r="O46" s="16">
        <f t="shared" si="2"/>
        <v>50.4776119402985</v>
      </c>
      <c r="P46" s="16">
        <v>12</v>
      </c>
      <c r="Q46" s="16">
        <v>1.8</v>
      </c>
      <c r="R46" s="16">
        <v>0.69</v>
      </c>
      <c r="T46" s="16">
        <v>200</v>
      </c>
      <c r="U46" s="25">
        <v>19</v>
      </c>
      <c r="V46" s="15">
        <v>0</v>
      </c>
    </row>
    <row r="47" spans="1:22">
      <c r="A47" s="13">
        <v>1076</v>
      </c>
      <c r="B47" s="14" t="s">
        <v>26</v>
      </c>
      <c r="C47" s="15">
        <v>89</v>
      </c>
      <c r="D47" s="15" t="s">
        <v>23</v>
      </c>
      <c r="E47" s="16" t="s">
        <v>24</v>
      </c>
      <c r="F47" s="16" t="s">
        <v>25</v>
      </c>
      <c r="G47" s="16" t="s">
        <v>25</v>
      </c>
      <c r="H47" s="16">
        <v>1.31</v>
      </c>
      <c r="I47" s="16">
        <v>18.79</v>
      </c>
      <c r="J47" s="16">
        <v>14.12</v>
      </c>
      <c r="K47" s="16">
        <v>0.7</v>
      </c>
      <c r="M47" s="17" t="e">
        <f t="shared" si="0"/>
        <v>#DIV/0!</v>
      </c>
      <c r="N47" s="17">
        <f t="shared" si="1"/>
        <v>0.0927762039660057</v>
      </c>
      <c r="O47" s="16">
        <f t="shared" si="2"/>
        <v>1.87142857142857</v>
      </c>
      <c r="P47" s="16">
        <v>12.4</v>
      </c>
      <c r="Q47" s="16">
        <v>5.67</v>
      </c>
      <c r="R47" s="16">
        <v>0.13</v>
      </c>
      <c r="T47" s="16">
        <v>319</v>
      </c>
      <c r="U47" s="25">
        <v>54</v>
      </c>
      <c r="V47" s="15">
        <v>0</v>
      </c>
    </row>
    <row r="48" spans="1:22">
      <c r="A48" s="13">
        <v>1079</v>
      </c>
      <c r="B48" s="14" t="s">
        <v>26</v>
      </c>
      <c r="C48" s="15">
        <v>55</v>
      </c>
      <c r="D48" s="22" t="s">
        <v>35</v>
      </c>
      <c r="E48" s="16" t="s">
        <v>29</v>
      </c>
      <c r="F48" s="16" t="s">
        <v>29</v>
      </c>
      <c r="G48" s="16" t="s">
        <v>29</v>
      </c>
      <c r="H48" s="16">
        <v>13.8</v>
      </c>
      <c r="I48" s="16">
        <v>39.24</v>
      </c>
      <c r="J48" s="16">
        <v>5.86</v>
      </c>
      <c r="K48" s="16">
        <v>0.9</v>
      </c>
      <c r="L48" s="16">
        <v>54</v>
      </c>
      <c r="M48" s="17">
        <f t="shared" si="0"/>
        <v>25.5555555555556</v>
      </c>
      <c r="N48" s="17">
        <f t="shared" si="1"/>
        <v>2.35494880546075</v>
      </c>
      <c r="O48" s="16">
        <f t="shared" si="2"/>
        <v>15.3333333333333</v>
      </c>
      <c r="P48" s="16">
        <v>13.6</v>
      </c>
      <c r="Q48" s="16">
        <v>6.93</v>
      </c>
      <c r="R48" s="16">
        <v>14.19</v>
      </c>
      <c r="S48" s="16">
        <v>56.68</v>
      </c>
      <c r="T48" s="16">
        <v>35</v>
      </c>
      <c r="U48" s="25">
        <v>7</v>
      </c>
      <c r="V48" s="15">
        <v>0</v>
      </c>
    </row>
    <row r="49" spans="1:22">
      <c r="A49" s="13">
        <v>1081</v>
      </c>
      <c r="B49" s="14" t="s">
        <v>26</v>
      </c>
      <c r="C49" s="15">
        <v>49</v>
      </c>
      <c r="D49" s="15" t="s">
        <v>30</v>
      </c>
      <c r="E49" s="16" t="s">
        <v>24</v>
      </c>
      <c r="F49" s="16" t="s">
        <v>25</v>
      </c>
      <c r="G49" s="16" t="s">
        <v>25</v>
      </c>
      <c r="H49" s="16">
        <v>12.63</v>
      </c>
      <c r="I49" s="16">
        <v>10.06</v>
      </c>
      <c r="J49" s="16">
        <v>9.57</v>
      </c>
      <c r="K49" s="16">
        <v>0.81</v>
      </c>
      <c r="L49" s="16">
        <v>60</v>
      </c>
      <c r="M49" s="17">
        <f t="shared" si="0"/>
        <v>21.05</v>
      </c>
      <c r="N49" s="17">
        <f t="shared" si="1"/>
        <v>1.31974921630094</v>
      </c>
      <c r="O49" s="16">
        <f t="shared" si="2"/>
        <v>15.5925925925926</v>
      </c>
      <c r="P49" s="16">
        <v>14.6</v>
      </c>
      <c r="Q49" s="16">
        <v>6.73</v>
      </c>
      <c r="R49" s="16">
        <v>1.84</v>
      </c>
      <c r="S49" s="16">
        <v>6.81</v>
      </c>
      <c r="T49" s="16">
        <v>106</v>
      </c>
      <c r="U49" s="25">
        <v>26</v>
      </c>
      <c r="V49" s="15">
        <v>0</v>
      </c>
    </row>
    <row r="50" spans="1:22">
      <c r="A50" s="13">
        <v>1082</v>
      </c>
      <c r="B50" s="14" t="s">
        <v>26</v>
      </c>
      <c r="C50" s="15">
        <v>38</v>
      </c>
      <c r="D50" s="15" t="s">
        <v>23</v>
      </c>
      <c r="E50" s="16" t="s">
        <v>24</v>
      </c>
      <c r="F50" s="16" t="s">
        <v>25</v>
      </c>
      <c r="G50" s="16" t="s">
        <v>25</v>
      </c>
      <c r="H50" s="16">
        <v>4.25</v>
      </c>
      <c r="I50" s="16">
        <v>22.73</v>
      </c>
      <c r="J50" s="16">
        <v>12.74</v>
      </c>
      <c r="K50" s="16">
        <v>0.95</v>
      </c>
      <c r="M50" s="17" t="e">
        <f t="shared" si="0"/>
        <v>#DIV/0!</v>
      </c>
      <c r="N50" s="17">
        <f t="shared" si="1"/>
        <v>0.333594976452119</v>
      </c>
      <c r="O50" s="16">
        <f t="shared" si="2"/>
        <v>4.47368421052632</v>
      </c>
      <c r="P50" s="16">
        <v>12.3</v>
      </c>
      <c r="Q50" s="16">
        <v>4.15</v>
      </c>
      <c r="R50" s="16">
        <v>1.24</v>
      </c>
      <c r="T50" s="16">
        <v>187</v>
      </c>
      <c r="U50" s="25">
        <v>27</v>
      </c>
      <c r="V50" s="15">
        <v>0</v>
      </c>
    </row>
    <row r="51" spans="1:22">
      <c r="A51" s="13">
        <v>1084</v>
      </c>
      <c r="B51" s="14" t="s">
        <v>26</v>
      </c>
      <c r="C51" s="15">
        <v>42</v>
      </c>
      <c r="D51" s="22" t="s">
        <v>28</v>
      </c>
      <c r="E51" s="16" t="s">
        <v>29</v>
      </c>
      <c r="F51" s="16" t="s">
        <v>29</v>
      </c>
      <c r="G51" s="16" t="s">
        <v>29</v>
      </c>
      <c r="H51" s="16">
        <v>23.28</v>
      </c>
      <c r="I51" s="16">
        <v>23.66</v>
      </c>
      <c r="J51" s="16">
        <v>12.32</v>
      </c>
      <c r="K51" s="16">
        <v>15.04</v>
      </c>
      <c r="L51" s="16">
        <v>60</v>
      </c>
      <c r="M51" s="17">
        <f t="shared" si="0"/>
        <v>38.8</v>
      </c>
      <c r="N51" s="17">
        <f t="shared" si="1"/>
        <v>1.88961038961039</v>
      </c>
      <c r="O51" s="16">
        <f t="shared" si="2"/>
        <v>1.54787234042553</v>
      </c>
      <c r="P51" s="16">
        <v>15.7</v>
      </c>
      <c r="Q51" s="16">
        <v>0.88</v>
      </c>
      <c r="R51" s="16">
        <v>9.62</v>
      </c>
      <c r="T51" s="16">
        <v>41</v>
      </c>
      <c r="U51" s="25">
        <v>17</v>
      </c>
      <c r="V51" s="15">
        <v>0</v>
      </c>
    </row>
    <row r="52" spans="1:22">
      <c r="A52" s="13">
        <v>1088</v>
      </c>
      <c r="B52" s="14" t="s">
        <v>26</v>
      </c>
      <c r="C52" s="15">
        <v>28</v>
      </c>
      <c r="D52" s="22" t="s">
        <v>35</v>
      </c>
      <c r="E52" s="16" t="s">
        <v>24</v>
      </c>
      <c r="F52" s="16" t="s">
        <v>31</v>
      </c>
      <c r="G52" s="16" t="s">
        <v>33</v>
      </c>
      <c r="H52" s="16">
        <v>8.96</v>
      </c>
      <c r="I52" s="16">
        <v>28.29</v>
      </c>
      <c r="J52" s="16">
        <v>51.86</v>
      </c>
      <c r="K52" s="16">
        <v>1.25</v>
      </c>
      <c r="M52" s="17" t="e">
        <f t="shared" si="0"/>
        <v>#DIV/0!</v>
      </c>
      <c r="N52" s="17">
        <f t="shared" si="1"/>
        <v>0.172772849980717</v>
      </c>
      <c r="O52" s="16">
        <f t="shared" si="2"/>
        <v>7.168</v>
      </c>
      <c r="P52" s="16">
        <v>12.5</v>
      </c>
      <c r="Q52" s="16">
        <v>4.24</v>
      </c>
      <c r="R52" s="16">
        <v>3.41</v>
      </c>
      <c r="T52" s="16">
        <v>111</v>
      </c>
      <c r="U52" s="25">
        <v>34</v>
      </c>
      <c r="V52" s="15">
        <v>0</v>
      </c>
    </row>
    <row r="53" spans="1:22">
      <c r="A53" s="13">
        <v>1094</v>
      </c>
      <c r="B53" s="14" t="s">
        <v>26</v>
      </c>
      <c r="C53" s="15">
        <v>58</v>
      </c>
      <c r="D53" s="15" t="s">
        <v>23</v>
      </c>
      <c r="E53" s="16" t="s">
        <v>24</v>
      </c>
      <c r="F53" s="16" t="s">
        <v>25</v>
      </c>
      <c r="G53" s="16" t="s">
        <v>25</v>
      </c>
      <c r="H53" s="16">
        <v>1.96</v>
      </c>
      <c r="I53" s="16">
        <v>9.6</v>
      </c>
      <c r="J53" s="16">
        <v>1.81</v>
      </c>
      <c r="K53" s="16">
        <v>0.46</v>
      </c>
      <c r="L53" s="16">
        <v>85</v>
      </c>
      <c r="M53" s="17">
        <f t="shared" si="0"/>
        <v>2.30588235294118</v>
      </c>
      <c r="N53" s="17">
        <f t="shared" si="1"/>
        <v>1.0828729281768</v>
      </c>
      <c r="O53" s="16">
        <f t="shared" si="2"/>
        <v>4.26086956521739</v>
      </c>
      <c r="P53" s="16">
        <v>15.4</v>
      </c>
      <c r="Q53" s="16">
        <v>5.45</v>
      </c>
      <c r="R53" s="16">
        <v>1</v>
      </c>
      <c r="S53" s="16">
        <v>3.72</v>
      </c>
      <c r="T53" s="16">
        <v>115</v>
      </c>
      <c r="U53" s="25">
        <v>44</v>
      </c>
      <c r="V53" s="15">
        <v>0</v>
      </c>
    </row>
    <row r="54" spans="1:22">
      <c r="A54" s="13">
        <v>1100</v>
      </c>
      <c r="B54" s="14" t="s">
        <v>26</v>
      </c>
      <c r="C54" s="15">
        <v>69</v>
      </c>
      <c r="D54" s="15" t="s">
        <v>23</v>
      </c>
      <c r="E54" s="16" t="s">
        <v>29</v>
      </c>
      <c r="F54" s="16" t="s">
        <v>29</v>
      </c>
      <c r="G54" s="16" t="s">
        <v>29</v>
      </c>
      <c r="H54" s="16">
        <v>7.15</v>
      </c>
      <c r="I54" s="16">
        <v>7.99</v>
      </c>
      <c r="J54" s="16">
        <v>6.82</v>
      </c>
      <c r="K54" s="16">
        <v>1.58</v>
      </c>
      <c r="L54" s="16">
        <v>92</v>
      </c>
      <c r="M54" s="17">
        <f t="shared" si="0"/>
        <v>7.77173913043478</v>
      </c>
      <c r="N54" s="17">
        <f t="shared" si="1"/>
        <v>1.04838709677419</v>
      </c>
      <c r="O54" s="16">
        <f t="shared" si="2"/>
        <v>4.5253164556962</v>
      </c>
      <c r="P54" s="16">
        <v>13.8</v>
      </c>
      <c r="Q54" s="16">
        <v>5.4</v>
      </c>
      <c r="R54" s="16">
        <v>7.66</v>
      </c>
      <c r="S54" s="16">
        <v>32.37</v>
      </c>
      <c r="T54" s="16">
        <v>44</v>
      </c>
      <c r="U54" s="25">
        <v>51</v>
      </c>
      <c r="V54" s="15">
        <v>0</v>
      </c>
    </row>
    <row r="55" spans="1:22">
      <c r="A55" s="13">
        <v>1104</v>
      </c>
      <c r="B55" s="14" t="s">
        <v>26</v>
      </c>
      <c r="C55" s="15">
        <v>59</v>
      </c>
      <c r="D55" s="15" t="s">
        <v>23</v>
      </c>
      <c r="E55" s="16" t="s">
        <v>29</v>
      </c>
      <c r="F55" s="16" t="s">
        <v>29</v>
      </c>
      <c r="G55" s="16" t="s">
        <v>29</v>
      </c>
      <c r="H55" s="16">
        <v>8.93</v>
      </c>
      <c r="I55" s="16">
        <v>15.32</v>
      </c>
      <c r="J55" s="16">
        <v>6.84</v>
      </c>
      <c r="K55" s="16">
        <v>1.08</v>
      </c>
      <c r="M55" s="17" t="e">
        <f t="shared" si="0"/>
        <v>#DIV/0!</v>
      </c>
      <c r="N55" s="17">
        <f t="shared" si="1"/>
        <v>1.30555555555556</v>
      </c>
      <c r="O55" s="16">
        <f t="shared" si="2"/>
        <v>8.26851851851852</v>
      </c>
      <c r="P55" s="16">
        <v>14.9</v>
      </c>
      <c r="Q55" s="16">
        <v>2.23</v>
      </c>
      <c r="R55" s="16">
        <v>3.92</v>
      </c>
      <c r="T55" s="16">
        <v>23</v>
      </c>
      <c r="U55" s="25">
        <v>26</v>
      </c>
      <c r="V55" s="15">
        <v>0</v>
      </c>
    </row>
    <row r="56" spans="1:22">
      <c r="A56" s="13">
        <v>1108</v>
      </c>
      <c r="B56" s="14" t="s">
        <v>26</v>
      </c>
      <c r="C56" s="15">
        <v>71</v>
      </c>
      <c r="D56" s="15" t="s">
        <v>23</v>
      </c>
      <c r="E56" s="16" t="s">
        <v>29</v>
      </c>
      <c r="F56" s="16" t="s">
        <v>29</v>
      </c>
      <c r="G56" s="16" t="s">
        <v>29</v>
      </c>
      <c r="H56" s="16">
        <v>21.66</v>
      </c>
      <c r="I56" s="16">
        <v>28.17</v>
      </c>
      <c r="J56" s="16">
        <v>24.02</v>
      </c>
      <c r="K56" s="16">
        <v>3.14</v>
      </c>
      <c r="M56" s="17" t="e">
        <f t="shared" si="0"/>
        <v>#DIV/0!</v>
      </c>
      <c r="N56" s="17">
        <f t="shared" si="1"/>
        <v>0.901748542880933</v>
      </c>
      <c r="O56" s="16">
        <f t="shared" si="2"/>
        <v>6.89808917197452</v>
      </c>
      <c r="P56" s="16">
        <v>11.4</v>
      </c>
      <c r="Q56" s="16">
        <v>1.98</v>
      </c>
      <c r="R56" s="16">
        <v>11</v>
      </c>
      <c r="T56" s="16">
        <v>44</v>
      </c>
      <c r="U56" s="25">
        <v>21</v>
      </c>
      <c r="V56" s="15">
        <v>1</v>
      </c>
    </row>
    <row r="57" spans="1:22">
      <c r="A57" s="13">
        <v>1110</v>
      </c>
      <c r="B57" s="14" t="s">
        <v>26</v>
      </c>
      <c r="C57" s="15">
        <v>75</v>
      </c>
      <c r="D57" s="15" t="s">
        <v>23</v>
      </c>
      <c r="E57" s="16" t="s">
        <v>24</v>
      </c>
      <c r="F57" s="16" t="s">
        <v>25</v>
      </c>
      <c r="G57" s="16" t="s">
        <v>25</v>
      </c>
      <c r="H57" s="16">
        <v>4.83</v>
      </c>
      <c r="L57" s="16">
        <v>58</v>
      </c>
      <c r="M57" s="17">
        <f t="shared" si="0"/>
        <v>8.32758620689655</v>
      </c>
      <c r="N57" s="17" t="e">
        <f t="shared" si="1"/>
        <v>#DIV/0!</v>
      </c>
      <c r="O57" s="16" t="e">
        <f t="shared" si="2"/>
        <v>#DIV/0!</v>
      </c>
      <c r="P57" s="16">
        <v>14.3</v>
      </c>
      <c r="Q57" s="16">
        <v>3.86</v>
      </c>
      <c r="R57" s="16">
        <v>2.15</v>
      </c>
      <c r="S57" s="16">
        <v>8.62</v>
      </c>
      <c r="T57" s="16">
        <v>148</v>
      </c>
      <c r="U57" s="25">
        <v>7</v>
      </c>
      <c r="V57" s="15">
        <v>0</v>
      </c>
    </row>
    <row r="58" spans="1:22">
      <c r="A58" s="13">
        <v>1111</v>
      </c>
      <c r="B58" s="14" t="s">
        <v>22</v>
      </c>
      <c r="C58" s="15">
        <v>56</v>
      </c>
      <c r="D58" s="15" t="s">
        <v>27</v>
      </c>
      <c r="E58" s="16" t="s">
        <v>24</v>
      </c>
      <c r="F58" s="16" t="s">
        <v>25</v>
      </c>
      <c r="G58" s="16" t="s">
        <v>25</v>
      </c>
      <c r="H58" s="16">
        <v>40.53</v>
      </c>
      <c r="I58" s="16">
        <v>13.27</v>
      </c>
      <c r="J58" s="16">
        <v>5.19</v>
      </c>
      <c r="K58" s="16">
        <v>5.04</v>
      </c>
      <c r="M58" s="17" t="e">
        <f t="shared" si="0"/>
        <v>#DIV/0!</v>
      </c>
      <c r="N58" s="17">
        <f t="shared" si="1"/>
        <v>7.80924855491329</v>
      </c>
      <c r="O58" s="16">
        <f t="shared" si="2"/>
        <v>8.04166666666667</v>
      </c>
      <c r="P58" s="16">
        <v>12.4</v>
      </c>
      <c r="Q58" s="16">
        <v>2.71</v>
      </c>
      <c r="R58" s="16">
        <v>3.06</v>
      </c>
      <c r="T58" s="16">
        <v>78</v>
      </c>
      <c r="U58" s="25">
        <v>54</v>
      </c>
      <c r="V58" s="15">
        <v>0</v>
      </c>
    </row>
    <row r="59" spans="1:22">
      <c r="A59" s="13">
        <v>1112</v>
      </c>
      <c r="B59" s="14" t="s">
        <v>22</v>
      </c>
      <c r="C59" s="15">
        <v>56</v>
      </c>
      <c r="D59" s="15" t="s">
        <v>27</v>
      </c>
      <c r="E59" s="16" t="s">
        <v>24</v>
      </c>
      <c r="F59" s="16" t="s">
        <v>25</v>
      </c>
      <c r="G59" s="16" t="s">
        <v>25</v>
      </c>
      <c r="H59" s="16">
        <v>19.97</v>
      </c>
      <c r="I59" s="16">
        <v>6.48</v>
      </c>
      <c r="J59" s="16">
        <v>7.49</v>
      </c>
      <c r="K59" s="16">
        <v>0.94</v>
      </c>
      <c r="L59" s="16">
        <v>81</v>
      </c>
      <c r="M59" s="17">
        <f t="shared" si="0"/>
        <v>24.6543209876543</v>
      </c>
      <c r="N59" s="17">
        <f t="shared" si="1"/>
        <v>2.66622162883845</v>
      </c>
      <c r="O59" s="16">
        <f t="shared" si="2"/>
        <v>21.2446808510638</v>
      </c>
      <c r="P59" s="16">
        <v>15.5</v>
      </c>
      <c r="Q59" s="16">
        <v>2.6</v>
      </c>
      <c r="R59" s="16">
        <v>7.73</v>
      </c>
      <c r="S59" s="16">
        <v>29.49</v>
      </c>
      <c r="T59" s="16">
        <v>120</v>
      </c>
      <c r="U59" s="25">
        <v>54</v>
      </c>
      <c r="V59" s="15">
        <v>0</v>
      </c>
    </row>
    <row r="60" spans="1:22">
      <c r="A60" s="13">
        <v>1115</v>
      </c>
      <c r="B60" s="14" t="s">
        <v>26</v>
      </c>
      <c r="C60" s="15">
        <v>63</v>
      </c>
      <c r="D60" s="15" t="s">
        <v>23</v>
      </c>
      <c r="E60" s="16" t="s">
        <v>24</v>
      </c>
      <c r="F60" s="16" t="s">
        <v>25</v>
      </c>
      <c r="G60" s="16" t="s">
        <v>25</v>
      </c>
      <c r="H60" s="16">
        <v>5.31</v>
      </c>
      <c r="I60" s="16">
        <v>9.59</v>
      </c>
      <c r="J60" s="16">
        <v>7.1</v>
      </c>
      <c r="K60" s="16">
        <v>0.78</v>
      </c>
      <c r="L60" s="16">
        <v>84</v>
      </c>
      <c r="M60" s="17">
        <f t="shared" si="0"/>
        <v>6.32142857142857</v>
      </c>
      <c r="N60" s="17">
        <f t="shared" si="1"/>
        <v>0.747887323943662</v>
      </c>
      <c r="O60" s="16">
        <f t="shared" si="2"/>
        <v>6.80769230769231</v>
      </c>
      <c r="P60" s="16">
        <v>18.6</v>
      </c>
      <c r="Q60" s="16">
        <v>3.68</v>
      </c>
      <c r="R60" s="16">
        <v>1.34</v>
      </c>
      <c r="S60" s="16">
        <v>4.58</v>
      </c>
      <c r="T60" s="16">
        <v>185</v>
      </c>
      <c r="U60" s="25">
        <v>16</v>
      </c>
      <c r="V60" s="15">
        <v>0</v>
      </c>
    </row>
    <row r="61" spans="1:22">
      <c r="A61" s="13">
        <v>1116</v>
      </c>
      <c r="B61" s="14" t="s">
        <v>22</v>
      </c>
      <c r="C61" s="15">
        <v>68</v>
      </c>
      <c r="D61" s="15" t="s">
        <v>27</v>
      </c>
      <c r="E61" s="16" t="s">
        <v>24</v>
      </c>
      <c r="F61" s="16" t="s">
        <v>25</v>
      </c>
      <c r="G61" s="16" t="s">
        <v>25</v>
      </c>
      <c r="H61" s="16">
        <v>2.68</v>
      </c>
      <c r="I61" s="16">
        <v>5.72</v>
      </c>
      <c r="J61" s="16">
        <v>16.25</v>
      </c>
      <c r="K61" s="16">
        <v>0.31</v>
      </c>
      <c r="L61" s="16">
        <v>68</v>
      </c>
      <c r="M61" s="17">
        <f t="shared" si="0"/>
        <v>3.94117647058824</v>
      </c>
      <c r="N61" s="17">
        <f t="shared" si="1"/>
        <v>0.164923076923077</v>
      </c>
      <c r="O61" s="16">
        <f t="shared" si="2"/>
        <v>8.64516129032258</v>
      </c>
      <c r="P61" s="16">
        <v>14</v>
      </c>
      <c r="Q61" s="16">
        <v>5.35</v>
      </c>
      <c r="R61" s="16">
        <v>1.19</v>
      </c>
      <c r="S61" s="16">
        <v>4.1</v>
      </c>
      <c r="T61" s="16">
        <v>134</v>
      </c>
      <c r="U61" s="25">
        <v>25</v>
      </c>
      <c r="V61" s="15">
        <v>0</v>
      </c>
    </row>
    <row r="62" spans="1:22">
      <c r="A62" s="13">
        <v>1118</v>
      </c>
      <c r="B62" s="14" t="s">
        <v>26</v>
      </c>
      <c r="C62" s="15">
        <v>45</v>
      </c>
      <c r="D62" s="15" t="s">
        <v>23</v>
      </c>
      <c r="E62" s="16" t="s">
        <v>24</v>
      </c>
      <c r="F62" s="16" t="s">
        <v>25</v>
      </c>
      <c r="G62" s="16" t="s">
        <v>25</v>
      </c>
      <c r="H62" s="16">
        <v>3.21</v>
      </c>
      <c r="I62" s="16">
        <v>12.07</v>
      </c>
      <c r="J62" s="16">
        <v>2.52</v>
      </c>
      <c r="K62" s="16">
        <v>2.01</v>
      </c>
      <c r="L62" s="16">
        <v>100</v>
      </c>
      <c r="M62" s="17">
        <f t="shared" si="0"/>
        <v>3.21</v>
      </c>
      <c r="N62" s="17">
        <f t="shared" si="1"/>
        <v>1.27380952380952</v>
      </c>
      <c r="O62" s="16">
        <f t="shared" si="2"/>
        <v>1.59701492537313</v>
      </c>
      <c r="P62" s="16">
        <v>15</v>
      </c>
      <c r="Q62" s="16">
        <v>6.85</v>
      </c>
      <c r="R62" s="16">
        <v>1.52</v>
      </c>
      <c r="S62" s="16">
        <v>5.52</v>
      </c>
      <c r="T62" s="16">
        <v>216</v>
      </c>
      <c r="U62" s="25">
        <v>34</v>
      </c>
      <c r="V62" s="15">
        <v>0</v>
      </c>
    </row>
    <row r="63" spans="1:22">
      <c r="A63" s="13">
        <v>1120</v>
      </c>
      <c r="B63" s="14" t="s">
        <v>26</v>
      </c>
      <c r="C63" s="15">
        <v>70</v>
      </c>
      <c r="D63" s="15" t="s">
        <v>23</v>
      </c>
      <c r="E63" s="16" t="s">
        <v>24</v>
      </c>
      <c r="F63" s="16" t="s">
        <v>25</v>
      </c>
      <c r="G63" s="16" t="s">
        <v>25</v>
      </c>
      <c r="H63" s="16">
        <v>2.22</v>
      </c>
      <c r="I63" s="16">
        <v>7.46</v>
      </c>
      <c r="J63" s="16">
        <v>5.77</v>
      </c>
      <c r="K63" s="16">
        <v>1.01</v>
      </c>
      <c r="M63" s="17" t="e">
        <f t="shared" si="0"/>
        <v>#DIV/0!</v>
      </c>
      <c r="N63" s="17">
        <f t="shared" si="1"/>
        <v>0.38474870017331</v>
      </c>
      <c r="O63" s="16">
        <f t="shared" si="2"/>
        <v>2.1980198019802</v>
      </c>
      <c r="P63" s="16">
        <v>12</v>
      </c>
      <c r="Q63" s="16">
        <v>4.31</v>
      </c>
      <c r="R63" s="16">
        <v>0.15</v>
      </c>
      <c r="T63" s="16">
        <v>276</v>
      </c>
      <c r="U63" s="25">
        <v>19</v>
      </c>
      <c r="V63" s="15">
        <v>0</v>
      </c>
    </row>
    <row r="64" spans="1:22">
      <c r="A64" s="13">
        <v>1122</v>
      </c>
      <c r="B64" s="14" t="s">
        <v>26</v>
      </c>
      <c r="C64" s="15">
        <v>21</v>
      </c>
      <c r="D64" s="22" t="s">
        <v>35</v>
      </c>
      <c r="E64" s="16" t="s">
        <v>24</v>
      </c>
      <c r="F64" s="16" t="s">
        <v>25</v>
      </c>
      <c r="G64" s="16" t="s">
        <v>25</v>
      </c>
      <c r="H64" s="16">
        <v>5.6</v>
      </c>
      <c r="I64" s="16">
        <v>10.15</v>
      </c>
      <c r="J64" s="16">
        <v>4.35</v>
      </c>
      <c r="K64" s="16">
        <v>2.09</v>
      </c>
      <c r="L64" s="16">
        <v>111</v>
      </c>
      <c r="M64" s="17">
        <f t="shared" si="0"/>
        <v>5.04504504504505</v>
      </c>
      <c r="N64" s="17">
        <f t="shared" si="1"/>
        <v>1.28735632183908</v>
      </c>
      <c r="O64" s="16">
        <f t="shared" si="2"/>
        <v>2.67942583732057</v>
      </c>
      <c r="P64" s="16">
        <v>13.2</v>
      </c>
      <c r="Q64" s="16">
        <v>10.32</v>
      </c>
      <c r="R64" s="16">
        <v>3.01</v>
      </c>
      <c r="S64" s="16">
        <v>10.49</v>
      </c>
      <c r="T64" s="16">
        <v>454</v>
      </c>
      <c r="U64" s="25">
        <v>13</v>
      </c>
      <c r="V64" s="15">
        <v>0</v>
      </c>
    </row>
    <row r="65" spans="1:22">
      <c r="A65" s="13">
        <v>1123</v>
      </c>
      <c r="B65" s="14" t="s">
        <v>26</v>
      </c>
      <c r="C65" s="15">
        <v>77</v>
      </c>
      <c r="D65" s="15" t="s">
        <v>27</v>
      </c>
      <c r="E65" s="16" t="s">
        <v>29</v>
      </c>
      <c r="F65" s="16" t="s">
        <v>29</v>
      </c>
      <c r="G65" s="16" t="s">
        <v>29</v>
      </c>
      <c r="H65" s="16">
        <v>120</v>
      </c>
      <c r="I65" s="16">
        <v>24.37</v>
      </c>
      <c r="J65" s="16">
        <v>11.73</v>
      </c>
      <c r="K65" s="16">
        <v>5.15</v>
      </c>
      <c r="L65" s="16">
        <v>34</v>
      </c>
      <c r="M65" s="17">
        <f t="shared" si="0"/>
        <v>352.941176470588</v>
      </c>
      <c r="N65" s="17">
        <f t="shared" si="1"/>
        <v>10.230179028133</v>
      </c>
      <c r="O65" s="16">
        <f t="shared" si="2"/>
        <v>23.3009708737864</v>
      </c>
      <c r="P65" s="16">
        <v>24.9</v>
      </c>
      <c r="Q65" s="16">
        <v>1.75</v>
      </c>
      <c r="R65" s="16">
        <v>20</v>
      </c>
      <c r="S65" s="16">
        <v>114.52</v>
      </c>
      <c r="T65" s="16">
        <v>33</v>
      </c>
      <c r="U65" s="25"/>
      <c r="V65" s="15">
        <v>1</v>
      </c>
    </row>
    <row r="66" spans="1:22">
      <c r="A66" s="13">
        <v>1127</v>
      </c>
      <c r="B66" s="14" t="s">
        <v>22</v>
      </c>
      <c r="C66" s="15">
        <v>32</v>
      </c>
      <c r="D66" s="15" t="s">
        <v>23</v>
      </c>
      <c r="E66" s="16" t="s">
        <v>29</v>
      </c>
      <c r="F66" s="16" t="s">
        <v>29</v>
      </c>
      <c r="G66" s="16" t="s">
        <v>29</v>
      </c>
      <c r="H66" s="16">
        <v>5</v>
      </c>
      <c r="I66" s="16">
        <v>9.49</v>
      </c>
      <c r="J66" s="16">
        <v>7.24</v>
      </c>
      <c r="K66" s="16">
        <v>0.85</v>
      </c>
      <c r="M66" s="17" t="e">
        <f t="shared" si="0"/>
        <v>#DIV/0!</v>
      </c>
      <c r="N66" s="17">
        <f t="shared" si="1"/>
        <v>0.69060773480663</v>
      </c>
      <c r="O66" s="16">
        <f t="shared" si="2"/>
        <v>5.88235294117647</v>
      </c>
      <c r="P66" s="16">
        <v>21.5</v>
      </c>
      <c r="Q66" s="16">
        <v>1.54</v>
      </c>
      <c r="R66" s="16">
        <v>2.85</v>
      </c>
      <c r="T66" s="16">
        <v>99</v>
      </c>
      <c r="U66" s="25">
        <v>45</v>
      </c>
      <c r="V66" s="15">
        <v>1</v>
      </c>
    </row>
    <row r="67" spans="1:22">
      <c r="A67" s="13">
        <v>1128</v>
      </c>
      <c r="B67" s="14" t="s">
        <v>22</v>
      </c>
      <c r="C67" s="15">
        <v>32</v>
      </c>
      <c r="D67" s="15" t="s">
        <v>23</v>
      </c>
      <c r="E67" s="16" t="s">
        <v>24</v>
      </c>
      <c r="F67" s="16" t="s">
        <v>31</v>
      </c>
      <c r="G67" s="16" t="s">
        <v>32</v>
      </c>
      <c r="H67" s="16">
        <v>3.38</v>
      </c>
      <c r="I67" s="16">
        <v>6.3</v>
      </c>
      <c r="J67" s="16">
        <v>8.46</v>
      </c>
      <c r="K67" s="16">
        <v>0.67</v>
      </c>
      <c r="L67" s="16">
        <v>37</v>
      </c>
      <c r="M67" s="17">
        <f t="shared" ref="M67:M130" si="3">100*H67/L67</f>
        <v>9.13513513513514</v>
      </c>
      <c r="N67" s="17">
        <f t="shared" ref="N67:N130" si="4">H67/J67</f>
        <v>0.399527186761229</v>
      </c>
      <c r="O67" s="16">
        <f t="shared" ref="O67:O130" si="5">H67/K67</f>
        <v>5.04477611940298</v>
      </c>
      <c r="P67" s="16">
        <v>18.1</v>
      </c>
      <c r="Q67" s="16">
        <v>1.49</v>
      </c>
      <c r="R67" s="16">
        <v>0.19</v>
      </c>
      <c r="S67" s="16">
        <v>3.72</v>
      </c>
      <c r="T67" s="16">
        <v>46</v>
      </c>
      <c r="U67" s="25">
        <v>45</v>
      </c>
      <c r="V67" s="15">
        <v>1</v>
      </c>
    </row>
    <row r="68" spans="1:22">
      <c r="A68" s="13">
        <v>1129</v>
      </c>
      <c r="B68" s="14" t="s">
        <v>26</v>
      </c>
      <c r="C68" s="15">
        <v>65</v>
      </c>
      <c r="D68" s="15" t="s">
        <v>23</v>
      </c>
      <c r="E68" s="16" t="s">
        <v>29</v>
      </c>
      <c r="F68" s="16" t="s">
        <v>29</v>
      </c>
      <c r="G68" s="16" t="s">
        <v>29</v>
      </c>
      <c r="H68" s="16">
        <v>14.89</v>
      </c>
      <c r="I68" s="16">
        <v>41.41</v>
      </c>
      <c r="J68" s="16">
        <v>31.85</v>
      </c>
      <c r="K68" s="16">
        <v>1.45</v>
      </c>
      <c r="L68" s="16">
        <v>53</v>
      </c>
      <c r="M68" s="17">
        <f t="shared" si="3"/>
        <v>28.0943396226415</v>
      </c>
      <c r="N68" s="17">
        <f t="shared" si="4"/>
        <v>0.467503924646782</v>
      </c>
      <c r="O68" s="16">
        <f t="shared" si="5"/>
        <v>10.2689655172414</v>
      </c>
      <c r="P68" s="16">
        <v>14.5</v>
      </c>
      <c r="Q68" s="16">
        <v>5.29</v>
      </c>
      <c r="R68" s="16">
        <v>10.02</v>
      </c>
      <c r="S68" s="16">
        <v>45.69</v>
      </c>
      <c r="T68" s="16">
        <v>27</v>
      </c>
      <c r="U68" s="25">
        <v>24</v>
      </c>
      <c r="V68" s="15">
        <v>1</v>
      </c>
    </row>
    <row r="69" spans="1:22">
      <c r="A69" s="13">
        <v>1133</v>
      </c>
      <c r="B69" s="14" t="s">
        <v>26</v>
      </c>
      <c r="C69" s="15">
        <v>41</v>
      </c>
      <c r="D69" s="15" t="s">
        <v>23</v>
      </c>
      <c r="E69" s="16" t="s">
        <v>29</v>
      </c>
      <c r="F69" s="16" t="s">
        <v>29</v>
      </c>
      <c r="G69" s="16" t="s">
        <v>29</v>
      </c>
      <c r="H69" s="16">
        <v>9.64</v>
      </c>
      <c r="I69" s="16">
        <v>22.56</v>
      </c>
      <c r="J69" s="16">
        <v>30.68</v>
      </c>
      <c r="K69" s="16">
        <v>0.87</v>
      </c>
      <c r="L69" s="16">
        <v>38</v>
      </c>
      <c r="M69" s="17">
        <f t="shared" si="3"/>
        <v>25.3684210526316</v>
      </c>
      <c r="N69" s="17">
        <f t="shared" si="4"/>
        <v>0.314211212516297</v>
      </c>
      <c r="O69" s="16">
        <f t="shared" si="5"/>
        <v>11.0804597701149</v>
      </c>
      <c r="P69" s="16">
        <v>16.2</v>
      </c>
      <c r="Q69" s="16">
        <v>4.59</v>
      </c>
      <c r="R69" s="16">
        <v>4.78</v>
      </c>
      <c r="S69" s="16">
        <v>17.7</v>
      </c>
      <c r="T69" s="16">
        <v>12</v>
      </c>
      <c r="U69" s="25">
        <v>2</v>
      </c>
      <c r="V69" s="15">
        <v>1</v>
      </c>
    </row>
    <row r="70" spans="1:22">
      <c r="A70" s="13">
        <v>1135</v>
      </c>
      <c r="B70" s="14" t="s">
        <v>26</v>
      </c>
      <c r="C70" s="15">
        <v>39</v>
      </c>
      <c r="D70" s="15" t="s">
        <v>23</v>
      </c>
      <c r="E70" s="16" t="s">
        <v>29</v>
      </c>
      <c r="F70" s="16" t="s">
        <v>29</v>
      </c>
      <c r="G70" s="16" t="s">
        <v>29</v>
      </c>
      <c r="H70" s="16">
        <v>4.6</v>
      </c>
      <c r="I70" s="16">
        <v>20.03</v>
      </c>
      <c r="J70" s="16">
        <v>12.83</v>
      </c>
      <c r="K70" s="16">
        <v>1.25</v>
      </c>
      <c r="L70" s="16">
        <v>48</v>
      </c>
      <c r="M70" s="17">
        <f t="shared" si="3"/>
        <v>9.58333333333333</v>
      </c>
      <c r="N70" s="17">
        <f t="shared" si="4"/>
        <v>0.358534684333593</v>
      </c>
      <c r="O70" s="16">
        <f t="shared" si="5"/>
        <v>3.68</v>
      </c>
      <c r="P70" s="16">
        <v>13.2</v>
      </c>
      <c r="Q70" s="16">
        <v>2.99</v>
      </c>
      <c r="R70" s="16">
        <v>4.65</v>
      </c>
      <c r="T70" s="16">
        <v>14</v>
      </c>
      <c r="U70" s="25">
        <v>29</v>
      </c>
      <c r="V70" s="15">
        <v>0</v>
      </c>
    </row>
    <row r="71" spans="1:22">
      <c r="A71" s="13">
        <v>1136</v>
      </c>
      <c r="B71" s="14" t="s">
        <v>26</v>
      </c>
      <c r="C71" s="15">
        <v>49</v>
      </c>
      <c r="D71" s="15" t="s">
        <v>23</v>
      </c>
      <c r="E71" s="16" t="s">
        <v>29</v>
      </c>
      <c r="F71" s="16" t="s">
        <v>29</v>
      </c>
      <c r="G71" s="16" t="s">
        <v>29</v>
      </c>
      <c r="H71" s="16">
        <v>14.91</v>
      </c>
      <c r="I71" s="16">
        <v>15.2</v>
      </c>
      <c r="J71" s="16">
        <v>20.34</v>
      </c>
      <c r="K71" s="16">
        <v>1.12</v>
      </c>
      <c r="L71" s="16">
        <v>47</v>
      </c>
      <c r="M71" s="17">
        <f t="shared" si="3"/>
        <v>31.7234042553191</v>
      </c>
      <c r="N71" s="17">
        <f t="shared" si="4"/>
        <v>0.733038348082596</v>
      </c>
      <c r="O71" s="16">
        <f t="shared" si="5"/>
        <v>13.3125</v>
      </c>
      <c r="P71" s="16">
        <v>30.8</v>
      </c>
      <c r="Q71" s="16">
        <v>2.92</v>
      </c>
      <c r="R71" s="16">
        <v>2.86</v>
      </c>
      <c r="S71" s="16">
        <v>6.61</v>
      </c>
      <c r="T71" s="16">
        <v>158</v>
      </c>
      <c r="U71" s="25">
        <v>5</v>
      </c>
      <c r="V71" s="15">
        <v>1</v>
      </c>
    </row>
    <row r="72" spans="1:22">
      <c r="A72" s="13">
        <v>1138</v>
      </c>
      <c r="B72" s="14" t="s">
        <v>26</v>
      </c>
      <c r="C72" s="15">
        <v>46</v>
      </c>
      <c r="D72" s="22" t="s">
        <v>35</v>
      </c>
      <c r="E72" s="16" t="s">
        <v>24</v>
      </c>
      <c r="F72" s="16" t="s">
        <v>25</v>
      </c>
      <c r="G72" s="16" t="s">
        <v>25</v>
      </c>
      <c r="H72" s="16">
        <v>41.73</v>
      </c>
      <c r="I72" s="16">
        <v>19.43</v>
      </c>
      <c r="J72" s="16">
        <v>7.43</v>
      </c>
      <c r="K72" s="16">
        <v>1.42</v>
      </c>
      <c r="M72" s="17" t="e">
        <f t="shared" si="3"/>
        <v>#DIV/0!</v>
      </c>
      <c r="N72" s="17">
        <f t="shared" si="4"/>
        <v>5.6164199192463</v>
      </c>
      <c r="O72" s="16">
        <f t="shared" si="5"/>
        <v>29.387323943662</v>
      </c>
      <c r="P72" s="16">
        <v>13.8</v>
      </c>
      <c r="Q72" s="16">
        <v>6.15</v>
      </c>
      <c r="R72" s="16">
        <v>1.99</v>
      </c>
      <c r="T72" s="16">
        <v>276</v>
      </c>
      <c r="U72" s="25">
        <v>30</v>
      </c>
      <c r="V72" s="15">
        <v>0</v>
      </c>
    </row>
    <row r="73" spans="1:22">
      <c r="A73" s="13">
        <v>1139</v>
      </c>
      <c r="B73" s="14" t="s">
        <v>26</v>
      </c>
      <c r="C73" s="15">
        <v>21</v>
      </c>
      <c r="D73" s="15" t="s">
        <v>27</v>
      </c>
      <c r="E73" s="16" t="s">
        <v>24</v>
      </c>
      <c r="F73" s="16" t="s">
        <v>25</v>
      </c>
      <c r="G73" s="16" t="s">
        <v>25</v>
      </c>
      <c r="H73" s="16">
        <v>42.91</v>
      </c>
      <c r="I73" s="16">
        <v>7.82</v>
      </c>
      <c r="J73" s="16">
        <v>10.39</v>
      </c>
      <c r="K73" s="16">
        <v>1.07</v>
      </c>
      <c r="L73" s="16">
        <v>116</v>
      </c>
      <c r="M73" s="17">
        <f t="shared" si="3"/>
        <v>36.9913793103448</v>
      </c>
      <c r="N73" s="17">
        <f t="shared" si="4"/>
        <v>4.12993262752647</v>
      </c>
      <c r="O73" s="16">
        <f t="shared" si="5"/>
        <v>40.1028037383178</v>
      </c>
      <c r="P73" s="16">
        <v>13.5</v>
      </c>
      <c r="Q73" s="16">
        <v>3.4</v>
      </c>
      <c r="R73" s="16">
        <v>9.32</v>
      </c>
      <c r="S73" s="16">
        <v>33.03</v>
      </c>
      <c r="T73" s="16">
        <v>149</v>
      </c>
      <c r="U73" s="25">
        <v>21</v>
      </c>
      <c r="V73" s="15">
        <v>0</v>
      </c>
    </row>
    <row r="74" spans="1:22">
      <c r="A74" s="13">
        <v>1142</v>
      </c>
      <c r="B74" s="14" t="s">
        <v>22</v>
      </c>
      <c r="C74" s="15">
        <v>40</v>
      </c>
      <c r="D74" s="22" t="s">
        <v>28</v>
      </c>
      <c r="E74" s="16" t="s">
        <v>24</v>
      </c>
      <c r="F74" s="16" t="s">
        <v>31</v>
      </c>
      <c r="G74" s="16" t="s">
        <v>32</v>
      </c>
      <c r="H74" s="16">
        <v>4.84</v>
      </c>
      <c r="I74" s="16">
        <v>11.44</v>
      </c>
      <c r="J74" s="16">
        <v>8.83</v>
      </c>
      <c r="K74" s="16">
        <v>2.38</v>
      </c>
      <c r="M74" s="17" t="e">
        <f t="shared" si="3"/>
        <v>#DIV/0!</v>
      </c>
      <c r="N74" s="17">
        <f t="shared" si="4"/>
        <v>0.548131370328426</v>
      </c>
      <c r="O74" s="16">
        <f t="shared" si="5"/>
        <v>2.03361344537815</v>
      </c>
      <c r="P74" s="16">
        <v>34.4</v>
      </c>
      <c r="Q74" s="16">
        <v>1.15</v>
      </c>
      <c r="R74" s="16">
        <v>2.49</v>
      </c>
      <c r="T74" s="16">
        <v>103</v>
      </c>
      <c r="U74" s="25">
        <v>22</v>
      </c>
      <c r="V74" s="15">
        <v>0</v>
      </c>
    </row>
    <row r="75" spans="1:22">
      <c r="A75" s="13">
        <v>1143</v>
      </c>
      <c r="B75" s="14" t="s">
        <v>26</v>
      </c>
      <c r="C75" s="15">
        <v>58</v>
      </c>
      <c r="D75" s="15" t="s">
        <v>27</v>
      </c>
      <c r="E75" s="16" t="s">
        <v>24</v>
      </c>
      <c r="F75" s="16" t="s">
        <v>25</v>
      </c>
      <c r="G75" s="16" t="s">
        <v>25</v>
      </c>
      <c r="H75" s="16">
        <v>6.86</v>
      </c>
      <c r="I75" s="16">
        <v>29.38</v>
      </c>
      <c r="J75" s="16">
        <v>5.48</v>
      </c>
      <c r="K75" s="16">
        <v>2.85</v>
      </c>
      <c r="M75" s="17" t="e">
        <f t="shared" si="3"/>
        <v>#DIV/0!</v>
      </c>
      <c r="N75" s="17">
        <f t="shared" si="4"/>
        <v>1.25182481751825</v>
      </c>
      <c r="O75" s="16">
        <f t="shared" si="5"/>
        <v>2.40701754385965</v>
      </c>
      <c r="P75" s="16">
        <v>12.5</v>
      </c>
      <c r="Q75" s="16">
        <v>6.82</v>
      </c>
      <c r="R75" s="16">
        <v>3.43</v>
      </c>
      <c r="T75" s="16">
        <v>265</v>
      </c>
      <c r="U75" s="25">
        <v>25</v>
      </c>
      <c r="V75" s="15">
        <v>0</v>
      </c>
    </row>
    <row r="76" spans="1:22">
      <c r="A76" s="13">
        <v>1145</v>
      </c>
      <c r="B76" s="14" t="s">
        <v>26</v>
      </c>
      <c r="C76" s="15">
        <v>64</v>
      </c>
      <c r="D76" s="15" t="s">
        <v>30</v>
      </c>
      <c r="E76" s="16" t="s">
        <v>24</v>
      </c>
      <c r="F76" s="16" t="s">
        <v>25</v>
      </c>
      <c r="G76" s="16" t="s">
        <v>25</v>
      </c>
      <c r="H76" s="16">
        <v>8.9</v>
      </c>
      <c r="I76" s="16">
        <v>4.82</v>
      </c>
      <c r="J76" s="16">
        <v>14.06</v>
      </c>
      <c r="K76" s="16">
        <v>1.16</v>
      </c>
      <c r="M76" s="17" t="e">
        <f t="shared" si="3"/>
        <v>#DIV/0!</v>
      </c>
      <c r="N76" s="17">
        <f t="shared" si="4"/>
        <v>0.633001422475107</v>
      </c>
      <c r="O76" s="16">
        <f t="shared" si="5"/>
        <v>7.67241379310345</v>
      </c>
      <c r="P76" s="16">
        <v>11.1</v>
      </c>
      <c r="Q76" s="16">
        <v>4.35</v>
      </c>
      <c r="R76" s="16">
        <v>0.26</v>
      </c>
      <c r="T76" s="16">
        <v>216</v>
      </c>
      <c r="U76" s="25">
        <v>19</v>
      </c>
      <c r="V76" s="15">
        <v>0</v>
      </c>
    </row>
    <row r="77" spans="1:22">
      <c r="A77" s="13">
        <v>1146</v>
      </c>
      <c r="B77" s="14" t="s">
        <v>26</v>
      </c>
      <c r="C77" s="15">
        <v>44</v>
      </c>
      <c r="D77" s="15" t="s">
        <v>23</v>
      </c>
      <c r="E77" s="16" t="s">
        <v>24</v>
      </c>
      <c r="F77" s="16" t="s">
        <v>31</v>
      </c>
      <c r="G77" s="16" t="s">
        <v>32</v>
      </c>
      <c r="H77" s="16">
        <v>30.2</v>
      </c>
      <c r="I77" s="16">
        <v>30.86</v>
      </c>
      <c r="J77" s="16">
        <v>28.32</v>
      </c>
      <c r="K77" s="16">
        <v>8.84</v>
      </c>
      <c r="M77" s="17" t="e">
        <f t="shared" si="3"/>
        <v>#DIV/0!</v>
      </c>
      <c r="N77" s="17">
        <f t="shared" si="4"/>
        <v>1.06638418079096</v>
      </c>
      <c r="O77" s="16">
        <f t="shared" si="5"/>
        <v>3.41628959276018</v>
      </c>
      <c r="P77" s="16">
        <v>11.1</v>
      </c>
      <c r="Q77" s="16">
        <v>1.78</v>
      </c>
      <c r="R77" s="16">
        <v>5.14</v>
      </c>
      <c r="T77" s="16">
        <v>66</v>
      </c>
      <c r="U77" s="25">
        <v>3</v>
      </c>
      <c r="V77" s="15">
        <v>1</v>
      </c>
    </row>
    <row r="78" spans="1:22">
      <c r="A78" s="13">
        <v>1148</v>
      </c>
      <c r="B78" s="14" t="s">
        <v>22</v>
      </c>
      <c r="C78" s="15">
        <v>37</v>
      </c>
      <c r="D78" s="22" t="s">
        <v>28</v>
      </c>
      <c r="E78" s="16" t="s">
        <v>29</v>
      </c>
      <c r="F78" s="16" t="s">
        <v>29</v>
      </c>
      <c r="G78" s="16" t="s">
        <v>29</v>
      </c>
      <c r="H78" s="16">
        <v>16.02</v>
      </c>
      <c r="I78" s="16">
        <v>8.14</v>
      </c>
      <c r="J78" s="16">
        <v>14.99</v>
      </c>
      <c r="K78" s="16">
        <v>2.07</v>
      </c>
      <c r="L78" s="16">
        <v>40</v>
      </c>
      <c r="M78" s="17">
        <f t="shared" si="3"/>
        <v>40.05</v>
      </c>
      <c r="N78" s="17">
        <f t="shared" si="4"/>
        <v>1.06871247498332</v>
      </c>
      <c r="O78" s="16">
        <f t="shared" si="5"/>
        <v>7.73913043478261</v>
      </c>
      <c r="P78" s="16">
        <v>32.5</v>
      </c>
      <c r="Q78" s="16">
        <v>1.18</v>
      </c>
      <c r="R78" s="16">
        <v>3.33</v>
      </c>
      <c r="S78" s="16">
        <v>12.94</v>
      </c>
      <c r="T78" s="16">
        <v>149</v>
      </c>
      <c r="U78" s="25">
        <v>11</v>
      </c>
      <c r="V78" s="15">
        <v>1</v>
      </c>
    </row>
    <row r="79" spans="1:22">
      <c r="A79" s="13">
        <v>1149</v>
      </c>
      <c r="B79" s="14" t="s">
        <v>22</v>
      </c>
      <c r="C79" s="15">
        <v>37</v>
      </c>
      <c r="D79" s="22" t="s">
        <v>28</v>
      </c>
      <c r="E79" s="16" t="s">
        <v>29</v>
      </c>
      <c r="F79" s="16" t="s">
        <v>29</v>
      </c>
      <c r="G79" s="16" t="s">
        <v>29</v>
      </c>
      <c r="H79" s="16">
        <v>88.85</v>
      </c>
      <c r="I79" s="16">
        <v>23.53</v>
      </c>
      <c r="J79" s="16">
        <v>30.88</v>
      </c>
      <c r="K79" s="16">
        <v>11.16</v>
      </c>
      <c r="L79" s="16">
        <v>44</v>
      </c>
      <c r="M79" s="17">
        <f t="shared" si="3"/>
        <v>201.931818181818</v>
      </c>
      <c r="N79" s="17">
        <f t="shared" si="4"/>
        <v>2.87726683937824</v>
      </c>
      <c r="O79" s="16">
        <f t="shared" si="5"/>
        <v>7.96146953405018</v>
      </c>
      <c r="P79" s="16">
        <v>20.3</v>
      </c>
      <c r="Q79" s="16">
        <v>2.85</v>
      </c>
      <c r="R79" s="16">
        <v>20</v>
      </c>
      <c r="S79" s="16">
        <v>54.33</v>
      </c>
      <c r="T79" s="16">
        <v>53</v>
      </c>
      <c r="U79" s="25">
        <v>11</v>
      </c>
      <c r="V79" s="15">
        <v>1</v>
      </c>
    </row>
    <row r="80" spans="1:22">
      <c r="A80" s="13">
        <v>1150</v>
      </c>
      <c r="B80" s="14" t="s">
        <v>26</v>
      </c>
      <c r="C80" s="15">
        <v>54</v>
      </c>
      <c r="D80" s="15" t="s">
        <v>27</v>
      </c>
      <c r="E80" s="16" t="s">
        <v>24</v>
      </c>
      <c r="F80" s="16" t="s">
        <v>25</v>
      </c>
      <c r="G80" s="16" t="s">
        <v>25</v>
      </c>
      <c r="H80" s="16">
        <v>34.34</v>
      </c>
      <c r="I80" s="16">
        <v>12.62</v>
      </c>
      <c r="J80" s="16">
        <v>4.89</v>
      </c>
      <c r="K80" s="16">
        <v>1.77</v>
      </c>
      <c r="M80" s="17" t="e">
        <f t="shared" si="3"/>
        <v>#DIV/0!</v>
      </c>
      <c r="N80" s="17">
        <f t="shared" si="4"/>
        <v>7.02249488752556</v>
      </c>
      <c r="O80" s="16">
        <f t="shared" si="5"/>
        <v>19.4011299435028</v>
      </c>
      <c r="P80" s="16">
        <v>10.1</v>
      </c>
      <c r="Q80" s="16">
        <v>5.04</v>
      </c>
      <c r="R80" s="16">
        <v>2.72</v>
      </c>
      <c r="T80" s="16">
        <v>97</v>
      </c>
      <c r="U80" s="25">
        <v>13</v>
      </c>
      <c r="V80" s="15">
        <v>0</v>
      </c>
    </row>
    <row r="81" spans="1:22">
      <c r="A81" s="13">
        <v>1151</v>
      </c>
      <c r="B81" s="14" t="s">
        <v>26</v>
      </c>
      <c r="C81" s="15">
        <v>83</v>
      </c>
      <c r="D81" s="15" t="s">
        <v>30</v>
      </c>
      <c r="E81" s="16" t="s">
        <v>24</v>
      </c>
      <c r="F81" s="16" t="s">
        <v>25</v>
      </c>
      <c r="G81" s="16" t="s">
        <v>25</v>
      </c>
      <c r="H81" s="16">
        <v>10.69</v>
      </c>
      <c r="I81" s="16">
        <v>12.02</v>
      </c>
      <c r="J81" s="16">
        <v>5.68</v>
      </c>
      <c r="K81" s="16">
        <v>1.22</v>
      </c>
      <c r="L81" s="16">
        <v>53</v>
      </c>
      <c r="M81" s="17">
        <f t="shared" si="3"/>
        <v>20.1698113207547</v>
      </c>
      <c r="N81" s="17">
        <f t="shared" si="4"/>
        <v>1.88204225352113</v>
      </c>
      <c r="O81" s="16">
        <f t="shared" si="5"/>
        <v>8.76229508196721</v>
      </c>
      <c r="P81" s="16">
        <v>15.2</v>
      </c>
      <c r="Q81" s="16">
        <v>1.98</v>
      </c>
      <c r="R81" s="16">
        <v>1.47</v>
      </c>
      <c r="S81" s="16">
        <v>4.8</v>
      </c>
      <c r="T81" s="16">
        <v>189</v>
      </c>
      <c r="U81" s="25">
        <v>42</v>
      </c>
      <c r="V81" s="15">
        <v>0</v>
      </c>
    </row>
    <row r="82" spans="1:22">
      <c r="A82" s="13">
        <v>1154</v>
      </c>
      <c r="B82" s="14" t="s">
        <v>26</v>
      </c>
      <c r="C82" s="15">
        <v>73</v>
      </c>
      <c r="D82" s="15" t="s">
        <v>30</v>
      </c>
      <c r="E82" s="16" t="s">
        <v>24</v>
      </c>
      <c r="F82" s="16" t="s">
        <v>25</v>
      </c>
      <c r="G82" s="16" t="s">
        <v>25</v>
      </c>
      <c r="H82" s="16">
        <v>5.4</v>
      </c>
      <c r="I82" s="16">
        <v>15.45</v>
      </c>
      <c r="J82" s="16">
        <v>11.19</v>
      </c>
      <c r="K82" s="16">
        <v>1.23</v>
      </c>
      <c r="M82" s="17" t="e">
        <f t="shared" si="3"/>
        <v>#DIV/0!</v>
      </c>
      <c r="N82" s="17">
        <f t="shared" si="4"/>
        <v>0.482573726541555</v>
      </c>
      <c r="O82" s="16">
        <f t="shared" si="5"/>
        <v>4.39024390243902</v>
      </c>
      <c r="P82" s="16">
        <v>12.9</v>
      </c>
      <c r="Q82" s="16">
        <v>2.81</v>
      </c>
      <c r="R82" s="16">
        <v>1.32</v>
      </c>
      <c r="T82" s="16">
        <v>167</v>
      </c>
      <c r="U82" s="25">
        <v>55</v>
      </c>
      <c r="V82" s="15">
        <v>1</v>
      </c>
    </row>
    <row r="83" spans="1:22">
      <c r="A83" s="13">
        <v>1155</v>
      </c>
      <c r="B83" s="14" t="s">
        <v>26</v>
      </c>
      <c r="C83" s="15">
        <v>73</v>
      </c>
      <c r="D83" s="15" t="s">
        <v>23</v>
      </c>
      <c r="E83" s="16" t="s">
        <v>29</v>
      </c>
      <c r="F83" s="16" t="s">
        <v>29</v>
      </c>
      <c r="G83" s="16" t="s">
        <v>29</v>
      </c>
      <c r="H83" s="16">
        <v>35.1</v>
      </c>
      <c r="I83" s="16">
        <v>29.14</v>
      </c>
      <c r="J83" s="16">
        <v>27.67</v>
      </c>
      <c r="K83" s="16">
        <v>0.71</v>
      </c>
      <c r="M83" s="17" t="e">
        <f t="shared" si="3"/>
        <v>#DIV/0!</v>
      </c>
      <c r="N83" s="17">
        <f t="shared" si="4"/>
        <v>1.26852186483556</v>
      </c>
      <c r="O83" s="16">
        <f t="shared" si="5"/>
        <v>49.4366197183099</v>
      </c>
      <c r="P83" s="16">
        <v>19.5</v>
      </c>
      <c r="Q83" s="16">
        <v>1.78</v>
      </c>
      <c r="R83" s="16">
        <v>1.86</v>
      </c>
      <c r="T83" s="16">
        <v>31</v>
      </c>
      <c r="U83" s="25">
        <v>55</v>
      </c>
      <c r="V83" s="15">
        <v>1</v>
      </c>
    </row>
    <row r="84" spans="1:22">
      <c r="A84" s="13">
        <v>1157</v>
      </c>
      <c r="B84" s="14" t="s">
        <v>22</v>
      </c>
      <c r="C84" s="15">
        <v>66</v>
      </c>
      <c r="D84" s="15" t="s">
        <v>23</v>
      </c>
      <c r="E84" s="16" t="s">
        <v>24</v>
      </c>
      <c r="F84" s="16" t="s">
        <v>31</v>
      </c>
      <c r="G84" s="16" t="s">
        <v>33</v>
      </c>
      <c r="H84" s="16">
        <v>21.83</v>
      </c>
      <c r="I84" s="16">
        <v>23.5</v>
      </c>
      <c r="J84" s="16">
        <v>16.09</v>
      </c>
      <c r="K84" s="16">
        <v>2.53</v>
      </c>
      <c r="L84" s="16">
        <v>84</v>
      </c>
      <c r="M84" s="17">
        <f t="shared" si="3"/>
        <v>25.9880952380952</v>
      </c>
      <c r="N84" s="17">
        <f t="shared" si="4"/>
        <v>1.35674331883157</v>
      </c>
      <c r="O84" s="16">
        <f t="shared" si="5"/>
        <v>8.62845849802371</v>
      </c>
      <c r="P84" s="16">
        <v>13.7</v>
      </c>
      <c r="Q84" s="16">
        <v>2</v>
      </c>
      <c r="R84" s="16">
        <v>9.25</v>
      </c>
      <c r="S84" s="16">
        <v>29.23</v>
      </c>
      <c r="T84" s="16">
        <v>52</v>
      </c>
      <c r="U84" s="25">
        <v>32</v>
      </c>
      <c r="V84" s="15">
        <v>0</v>
      </c>
    </row>
    <row r="85" spans="1:22">
      <c r="A85" s="13">
        <v>1158</v>
      </c>
      <c r="B85" s="14" t="s">
        <v>22</v>
      </c>
      <c r="C85" s="15">
        <v>66</v>
      </c>
      <c r="D85" s="15" t="s">
        <v>23</v>
      </c>
      <c r="E85" s="16" t="s">
        <v>24</v>
      </c>
      <c r="F85" s="16" t="s">
        <v>25</v>
      </c>
      <c r="G85" s="16" t="s">
        <v>25</v>
      </c>
      <c r="H85" s="16">
        <v>5.8</v>
      </c>
      <c r="I85" s="16">
        <v>40.14</v>
      </c>
      <c r="J85" s="16">
        <v>21.28</v>
      </c>
      <c r="K85" s="16">
        <v>1.41</v>
      </c>
      <c r="M85" s="17" t="e">
        <f t="shared" si="3"/>
        <v>#DIV/0!</v>
      </c>
      <c r="N85" s="17">
        <f t="shared" si="4"/>
        <v>0.272556390977444</v>
      </c>
      <c r="O85" s="16">
        <f t="shared" si="5"/>
        <v>4.11347517730496</v>
      </c>
      <c r="P85" s="16">
        <v>10.4</v>
      </c>
      <c r="Q85" s="16">
        <v>2.6</v>
      </c>
      <c r="R85" s="16">
        <v>1.32</v>
      </c>
      <c r="S85" s="16">
        <v>5.04</v>
      </c>
      <c r="T85" s="16">
        <v>64</v>
      </c>
      <c r="U85" s="25">
        <v>32</v>
      </c>
      <c r="V85" s="15">
        <v>0</v>
      </c>
    </row>
    <row r="86" spans="1:22">
      <c r="A86" s="13">
        <v>1159</v>
      </c>
      <c r="B86" s="14" t="s">
        <v>26</v>
      </c>
      <c r="C86" s="15">
        <v>69</v>
      </c>
      <c r="D86" s="15" t="s">
        <v>23</v>
      </c>
      <c r="E86" s="16" t="s">
        <v>24</v>
      </c>
      <c r="F86" s="16" t="s">
        <v>25</v>
      </c>
      <c r="G86" s="16" t="s">
        <v>25</v>
      </c>
      <c r="H86" s="16">
        <v>6.88</v>
      </c>
      <c r="I86" s="16">
        <v>18.65</v>
      </c>
      <c r="J86" s="16">
        <v>18.01</v>
      </c>
      <c r="K86" s="16">
        <v>0.26</v>
      </c>
      <c r="L86" s="16">
        <v>50</v>
      </c>
      <c r="M86" s="17">
        <f t="shared" si="3"/>
        <v>13.76</v>
      </c>
      <c r="N86" s="17">
        <f t="shared" si="4"/>
        <v>0.382009994447529</v>
      </c>
      <c r="O86" s="16">
        <f t="shared" si="5"/>
        <v>26.4615384615385</v>
      </c>
      <c r="P86" s="16">
        <v>18.6</v>
      </c>
      <c r="Q86" s="16">
        <v>7.14</v>
      </c>
      <c r="R86" s="16">
        <v>2.78</v>
      </c>
      <c r="S86" s="16">
        <v>14.84</v>
      </c>
      <c r="T86" s="16">
        <v>108</v>
      </c>
      <c r="U86" s="25">
        <v>12</v>
      </c>
      <c r="V86" s="15">
        <v>0</v>
      </c>
    </row>
    <row r="87" spans="1:22">
      <c r="A87" s="13">
        <v>1161</v>
      </c>
      <c r="B87" s="14" t="s">
        <v>22</v>
      </c>
      <c r="C87" s="15">
        <v>56</v>
      </c>
      <c r="D87" s="15" t="s">
        <v>23</v>
      </c>
      <c r="E87" s="16" t="s">
        <v>24</v>
      </c>
      <c r="F87" s="16" t="s">
        <v>31</v>
      </c>
      <c r="G87" s="16" t="s">
        <v>33</v>
      </c>
      <c r="H87" s="16">
        <v>7.35</v>
      </c>
      <c r="I87" s="16">
        <v>17.3</v>
      </c>
      <c r="J87" s="16">
        <v>23.28</v>
      </c>
      <c r="K87" s="16">
        <v>1.15</v>
      </c>
      <c r="L87" s="16">
        <v>53</v>
      </c>
      <c r="M87" s="17">
        <f t="shared" si="3"/>
        <v>13.8679245283019</v>
      </c>
      <c r="N87" s="17">
        <f t="shared" si="4"/>
        <v>0.315721649484536</v>
      </c>
      <c r="O87" s="16">
        <f t="shared" si="5"/>
        <v>6.39130434782609</v>
      </c>
      <c r="P87" s="16">
        <v>15.3</v>
      </c>
      <c r="Q87" s="16">
        <v>2.59</v>
      </c>
      <c r="R87" s="16">
        <v>2.75</v>
      </c>
      <c r="S87" s="16">
        <v>16.29</v>
      </c>
      <c r="T87" s="16">
        <v>60</v>
      </c>
      <c r="U87" s="25">
        <v>27</v>
      </c>
      <c r="V87" s="15">
        <v>0</v>
      </c>
    </row>
    <row r="88" spans="1:22">
      <c r="A88" s="13">
        <v>1162</v>
      </c>
      <c r="B88" s="14" t="s">
        <v>22</v>
      </c>
      <c r="C88" s="15">
        <v>56</v>
      </c>
      <c r="D88" s="15" t="s">
        <v>23</v>
      </c>
      <c r="E88" s="16" t="s">
        <v>29</v>
      </c>
      <c r="F88" s="16" t="s">
        <v>29</v>
      </c>
      <c r="G88" s="16" t="s">
        <v>29</v>
      </c>
      <c r="H88" s="16">
        <v>3.94</v>
      </c>
      <c r="I88" s="16">
        <v>33.14</v>
      </c>
      <c r="J88" s="16">
        <v>42.6</v>
      </c>
      <c r="K88" s="16">
        <v>0.83</v>
      </c>
      <c r="L88" s="16">
        <v>48</v>
      </c>
      <c r="M88" s="17">
        <f t="shared" si="3"/>
        <v>8.20833333333333</v>
      </c>
      <c r="N88" s="17">
        <f t="shared" si="4"/>
        <v>0.0924882629107981</v>
      </c>
      <c r="O88" s="16">
        <f t="shared" si="5"/>
        <v>4.74698795180723</v>
      </c>
      <c r="P88" s="16">
        <v>18.4</v>
      </c>
      <c r="Q88" s="16">
        <v>2.52</v>
      </c>
      <c r="R88" s="16">
        <v>3.45</v>
      </c>
      <c r="S88" s="16">
        <v>12.35</v>
      </c>
      <c r="T88" s="16">
        <v>33</v>
      </c>
      <c r="U88" s="25">
        <v>27</v>
      </c>
      <c r="V88" s="15">
        <v>0</v>
      </c>
    </row>
    <row r="89" spans="1:22">
      <c r="A89" s="13">
        <v>1165</v>
      </c>
      <c r="B89" s="14" t="s">
        <v>26</v>
      </c>
      <c r="C89" s="15">
        <v>76</v>
      </c>
      <c r="D89" s="15" t="s">
        <v>23</v>
      </c>
      <c r="E89" s="16" t="s">
        <v>24</v>
      </c>
      <c r="F89" s="16" t="s">
        <v>25</v>
      </c>
      <c r="G89" s="16" t="s">
        <v>25</v>
      </c>
      <c r="H89" s="16">
        <v>8.07</v>
      </c>
      <c r="I89" s="16">
        <v>14.51</v>
      </c>
      <c r="J89" s="16">
        <v>18.41</v>
      </c>
      <c r="K89" s="16">
        <v>1.51</v>
      </c>
      <c r="L89" s="16">
        <v>68</v>
      </c>
      <c r="M89" s="17">
        <f t="shared" si="3"/>
        <v>11.8676470588235</v>
      </c>
      <c r="N89" s="17">
        <f t="shared" si="4"/>
        <v>0.438348723519826</v>
      </c>
      <c r="O89" s="16">
        <f t="shared" si="5"/>
        <v>5.34437086092715</v>
      </c>
      <c r="P89" s="16">
        <v>13.1</v>
      </c>
      <c r="Q89" s="16">
        <v>4.5</v>
      </c>
      <c r="R89" s="16">
        <v>3.66</v>
      </c>
      <c r="S89" s="16">
        <v>12.87</v>
      </c>
      <c r="T89" s="16">
        <v>67</v>
      </c>
      <c r="U89" s="25">
        <v>61</v>
      </c>
      <c r="V89" s="15">
        <v>0</v>
      </c>
    </row>
    <row r="90" spans="1:22">
      <c r="A90" s="13">
        <v>1166</v>
      </c>
      <c r="B90" s="14" t="s">
        <v>26</v>
      </c>
      <c r="C90" s="15">
        <v>76</v>
      </c>
      <c r="D90" s="15" t="s">
        <v>23</v>
      </c>
      <c r="E90" s="16" t="s">
        <v>24</v>
      </c>
      <c r="F90" s="16" t="s">
        <v>25</v>
      </c>
      <c r="G90" s="16" t="s">
        <v>25</v>
      </c>
      <c r="H90" s="16">
        <v>0.4</v>
      </c>
      <c r="I90" s="16">
        <v>19.2</v>
      </c>
      <c r="J90" s="16">
        <v>7.71</v>
      </c>
      <c r="K90" s="16">
        <v>0.05</v>
      </c>
      <c r="M90" s="17" t="e">
        <f t="shared" si="3"/>
        <v>#DIV/0!</v>
      </c>
      <c r="N90" s="17">
        <f t="shared" si="4"/>
        <v>0.0518806744487678</v>
      </c>
      <c r="O90" s="16">
        <f t="shared" si="5"/>
        <v>8</v>
      </c>
      <c r="P90" s="16">
        <v>13.1</v>
      </c>
      <c r="Q90" s="16">
        <v>3.61</v>
      </c>
      <c r="T90" s="16">
        <v>152</v>
      </c>
      <c r="U90" s="25">
        <v>61</v>
      </c>
      <c r="V90" s="15">
        <v>0</v>
      </c>
    </row>
    <row r="91" spans="1:22">
      <c r="A91" s="13">
        <v>1168</v>
      </c>
      <c r="B91" s="14" t="s">
        <v>22</v>
      </c>
      <c r="C91" s="15">
        <v>83</v>
      </c>
      <c r="D91" s="22" t="s">
        <v>28</v>
      </c>
      <c r="E91" s="16" t="s">
        <v>24</v>
      </c>
      <c r="F91" s="16" t="s">
        <v>25</v>
      </c>
      <c r="G91" s="16" t="s">
        <v>25</v>
      </c>
      <c r="H91" s="16">
        <v>20.35</v>
      </c>
      <c r="I91" s="16">
        <v>23.99</v>
      </c>
      <c r="J91" s="16">
        <v>3.04</v>
      </c>
      <c r="K91" s="16">
        <v>1.93</v>
      </c>
      <c r="M91" s="17" t="e">
        <f t="shared" si="3"/>
        <v>#DIV/0!</v>
      </c>
      <c r="N91" s="17">
        <f t="shared" si="4"/>
        <v>6.69407894736842</v>
      </c>
      <c r="O91" s="16">
        <f t="shared" si="5"/>
        <v>10.5440414507772</v>
      </c>
      <c r="P91" s="16">
        <v>12.2</v>
      </c>
      <c r="Q91" s="16">
        <v>6.08</v>
      </c>
      <c r="R91" s="16">
        <v>2.28</v>
      </c>
      <c r="T91" s="16">
        <v>215</v>
      </c>
      <c r="U91" s="25">
        <v>11</v>
      </c>
      <c r="V91" s="15">
        <v>1</v>
      </c>
    </row>
    <row r="92" spans="1:22">
      <c r="A92" s="13">
        <v>1170</v>
      </c>
      <c r="B92" s="14" t="s">
        <v>26</v>
      </c>
      <c r="C92" s="15">
        <v>69</v>
      </c>
      <c r="D92" s="15" t="s">
        <v>23</v>
      </c>
      <c r="E92" s="16" t="s">
        <v>24</v>
      </c>
      <c r="F92" s="16" t="s">
        <v>25</v>
      </c>
      <c r="G92" s="16" t="s">
        <v>25</v>
      </c>
      <c r="H92" s="16">
        <v>4.1</v>
      </c>
      <c r="I92" s="16">
        <v>46.46</v>
      </c>
      <c r="J92" s="16">
        <v>7.98</v>
      </c>
      <c r="K92" s="16">
        <v>0.7</v>
      </c>
      <c r="M92" s="17" t="e">
        <f t="shared" si="3"/>
        <v>#DIV/0!</v>
      </c>
      <c r="N92" s="17">
        <f t="shared" si="4"/>
        <v>0.513784461152882</v>
      </c>
      <c r="O92" s="16">
        <f t="shared" si="5"/>
        <v>5.85714285714286</v>
      </c>
      <c r="P92" s="16">
        <v>13.8</v>
      </c>
      <c r="Q92" s="16">
        <v>2.09</v>
      </c>
      <c r="R92" s="16">
        <v>1.94</v>
      </c>
      <c r="S92" s="16">
        <v>5.65</v>
      </c>
      <c r="T92" s="16">
        <v>90</v>
      </c>
      <c r="U92" s="25">
        <v>24</v>
      </c>
      <c r="V92" s="15">
        <v>0</v>
      </c>
    </row>
    <row r="93" spans="1:22">
      <c r="A93" s="13">
        <v>1173</v>
      </c>
      <c r="B93" s="14" t="s">
        <v>26</v>
      </c>
      <c r="C93" s="15">
        <v>50</v>
      </c>
      <c r="D93" s="22" t="s">
        <v>28</v>
      </c>
      <c r="E93" s="16" t="s">
        <v>29</v>
      </c>
      <c r="F93" s="16" t="s">
        <v>29</v>
      </c>
      <c r="G93" s="16" t="s">
        <v>29</v>
      </c>
      <c r="H93" s="16">
        <v>13.73</v>
      </c>
      <c r="I93" s="16">
        <v>22.64</v>
      </c>
      <c r="J93" s="16">
        <v>24.56</v>
      </c>
      <c r="K93" s="16">
        <v>2.79</v>
      </c>
      <c r="L93" s="16">
        <v>24</v>
      </c>
      <c r="M93" s="17">
        <f t="shared" si="3"/>
        <v>57.2083333333333</v>
      </c>
      <c r="N93" s="17">
        <f t="shared" si="4"/>
        <v>0.559039087947883</v>
      </c>
      <c r="O93" s="16">
        <f t="shared" si="5"/>
        <v>4.92114695340502</v>
      </c>
      <c r="P93" s="16">
        <v>20.2</v>
      </c>
      <c r="Q93" s="16">
        <v>1.94</v>
      </c>
      <c r="R93" s="16">
        <v>12.12</v>
      </c>
      <c r="S93" s="16">
        <v>45.96</v>
      </c>
      <c r="T93" s="16">
        <v>17</v>
      </c>
      <c r="U93" s="25">
        <v>19</v>
      </c>
      <c r="V93" s="15">
        <v>0</v>
      </c>
    </row>
    <row r="94" spans="1:22">
      <c r="A94" s="13">
        <v>1175</v>
      </c>
      <c r="B94" s="14" t="s">
        <v>26</v>
      </c>
      <c r="C94" s="15">
        <v>55</v>
      </c>
      <c r="D94" s="15" t="s">
        <v>23</v>
      </c>
      <c r="E94" s="16" t="s">
        <v>24</v>
      </c>
      <c r="F94" s="16" t="s">
        <v>25</v>
      </c>
      <c r="G94" s="16" t="s">
        <v>25</v>
      </c>
      <c r="H94" s="16">
        <v>6.6</v>
      </c>
      <c r="I94" s="16">
        <v>14.88</v>
      </c>
      <c r="J94" s="16">
        <v>10.55</v>
      </c>
      <c r="K94" s="16">
        <v>0.93</v>
      </c>
      <c r="M94" s="17" t="e">
        <f t="shared" si="3"/>
        <v>#DIV/0!</v>
      </c>
      <c r="N94" s="17">
        <f t="shared" si="4"/>
        <v>0.625592417061611</v>
      </c>
      <c r="O94" s="16">
        <f t="shared" si="5"/>
        <v>7.09677419354839</v>
      </c>
      <c r="P94" s="16">
        <v>11.5</v>
      </c>
      <c r="Q94" s="16">
        <v>3.7</v>
      </c>
      <c r="R94" s="16">
        <v>0.9</v>
      </c>
      <c r="T94" s="16">
        <v>363</v>
      </c>
      <c r="U94" s="25">
        <v>58</v>
      </c>
      <c r="V94" s="15">
        <v>0</v>
      </c>
    </row>
    <row r="95" spans="1:22">
      <c r="A95" s="13">
        <v>1180</v>
      </c>
      <c r="B95" s="14" t="s">
        <v>26</v>
      </c>
      <c r="C95" s="15">
        <v>74</v>
      </c>
      <c r="D95" s="15" t="s">
        <v>27</v>
      </c>
      <c r="E95" s="16" t="s">
        <v>24</v>
      </c>
      <c r="F95" s="16" t="s">
        <v>25</v>
      </c>
      <c r="G95" s="16" t="s">
        <v>25</v>
      </c>
      <c r="H95" s="16">
        <v>24.35</v>
      </c>
      <c r="I95" s="16">
        <v>8.88</v>
      </c>
      <c r="J95" s="16">
        <v>7.72</v>
      </c>
      <c r="K95" s="16">
        <v>2.01</v>
      </c>
      <c r="M95" s="17" t="e">
        <f t="shared" si="3"/>
        <v>#DIV/0!</v>
      </c>
      <c r="N95" s="17">
        <f t="shared" si="4"/>
        <v>3.15414507772021</v>
      </c>
      <c r="O95" s="16">
        <f t="shared" si="5"/>
        <v>12.1144278606965</v>
      </c>
      <c r="P95" s="16">
        <v>11.2</v>
      </c>
      <c r="Q95" s="16">
        <v>3.61</v>
      </c>
      <c r="R95" s="16">
        <v>4.07</v>
      </c>
      <c r="T95" s="16">
        <v>159</v>
      </c>
      <c r="U95" s="25">
        <v>34</v>
      </c>
      <c r="V95" s="15">
        <v>0</v>
      </c>
    </row>
    <row r="96" spans="1:22">
      <c r="A96" s="13">
        <v>1182</v>
      </c>
      <c r="B96" s="14" t="s">
        <v>26</v>
      </c>
      <c r="C96" s="15">
        <v>59</v>
      </c>
      <c r="D96" s="15" t="s">
        <v>23</v>
      </c>
      <c r="E96" s="16" t="s">
        <v>24</v>
      </c>
      <c r="F96" s="16" t="s">
        <v>25</v>
      </c>
      <c r="G96" s="16" t="s">
        <v>25</v>
      </c>
      <c r="H96" s="16">
        <v>4.51</v>
      </c>
      <c r="I96" s="16">
        <v>23.22</v>
      </c>
      <c r="J96" s="16">
        <v>3.4</v>
      </c>
      <c r="K96" s="16">
        <v>1.12</v>
      </c>
      <c r="M96" s="17" t="e">
        <f t="shared" si="3"/>
        <v>#DIV/0!</v>
      </c>
      <c r="N96" s="17">
        <f t="shared" si="4"/>
        <v>1.32647058823529</v>
      </c>
      <c r="O96" s="16">
        <f t="shared" si="5"/>
        <v>4.02678571428571</v>
      </c>
      <c r="P96" s="16">
        <v>11.6</v>
      </c>
      <c r="Q96" s="16">
        <v>4.97</v>
      </c>
      <c r="R96" s="16">
        <v>4.05</v>
      </c>
      <c r="S96" s="16">
        <v>15.06</v>
      </c>
      <c r="T96" s="16">
        <v>275</v>
      </c>
      <c r="U96" s="25">
        <v>38</v>
      </c>
      <c r="V96" s="15">
        <v>0</v>
      </c>
    </row>
    <row r="97" spans="1:22">
      <c r="A97" s="13">
        <v>1183</v>
      </c>
      <c r="B97" s="14" t="s">
        <v>22</v>
      </c>
      <c r="C97" s="15">
        <v>62</v>
      </c>
      <c r="D97" s="15" t="s">
        <v>23</v>
      </c>
      <c r="E97" s="16" t="s">
        <v>24</v>
      </c>
      <c r="F97" s="16" t="s">
        <v>25</v>
      </c>
      <c r="G97" s="16" t="s">
        <v>25</v>
      </c>
      <c r="H97" s="16">
        <v>5.15</v>
      </c>
      <c r="I97" s="16">
        <v>22.99</v>
      </c>
      <c r="J97" s="16">
        <v>24.51</v>
      </c>
      <c r="K97" s="16">
        <v>0.79</v>
      </c>
      <c r="M97" s="17" t="e">
        <f t="shared" si="3"/>
        <v>#DIV/0!</v>
      </c>
      <c r="N97" s="17">
        <f t="shared" si="4"/>
        <v>0.210118319053448</v>
      </c>
      <c r="O97" s="16">
        <f t="shared" si="5"/>
        <v>6.51898734177215</v>
      </c>
      <c r="P97" s="16">
        <v>9.9</v>
      </c>
      <c r="Q97" s="16">
        <v>4.68</v>
      </c>
      <c r="R97" s="16">
        <v>0.28</v>
      </c>
      <c r="T97" s="16">
        <v>228</v>
      </c>
      <c r="U97" s="25">
        <v>30</v>
      </c>
      <c r="V97" s="15">
        <v>0</v>
      </c>
    </row>
    <row r="98" spans="1:22">
      <c r="A98" s="13">
        <v>1184</v>
      </c>
      <c r="B98" s="14" t="s">
        <v>26</v>
      </c>
      <c r="C98" s="15">
        <v>50</v>
      </c>
      <c r="D98" s="15" t="s">
        <v>23</v>
      </c>
      <c r="E98" s="16" t="s">
        <v>24</v>
      </c>
      <c r="F98" s="16" t="s">
        <v>25</v>
      </c>
      <c r="G98" s="16" t="s">
        <v>25</v>
      </c>
      <c r="H98" s="16">
        <v>2.31</v>
      </c>
      <c r="I98" s="16">
        <v>10.18</v>
      </c>
      <c r="J98" s="16">
        <v>6.94</v>
      </c>
      <c r="K98" s="16">
        <v>1.28</v>
      </c>
      <c r="L98" s="16">
        <v>98</v>
      </c>
      <c r="M98" s="17">
        <f t="shared" si="3"/>
        <v>2.35714285714286</v>
      </c>
      <c r="N98" s="17">
        <f t="shared" si="4"/>
        <v>0.332853025936599</v>
      </c>
      <c r="O98" s="16">
        <f t="shared" si="5"/>
        <v>1.8046875</v>
      </c>
      <c r="P98" s="16">
        <v>17.7</v>
      </c>
      <c r="Q98" s="16">
        <v>7.31</v>
      </c>
      <c r="R98" s="16">
        <v>1.24</v>
      </c>
      <c r="S98" s="16">
        <v>4.44</v>
      </c>
      <c r="T98" s="16">
        <v>454</v>
      </c>
      <c r="U98" s="25">
        <v>11</v>
      </c>
      <c r="V98" s="15">
        <v>0</v>
      </c>
    </row>
    <row r="99" spans="1:22">
      <c r="A99" s="13">
        <v>1185</v>
      </c>
      <c r="B99" s="14" t="s">
        <v>26</v>
      </c>
      <c r="C99" s="15">
        <v>86</v>
      </c>
      <c r="D99" s="22" t="s">
        <v>28</v>
      </c>
      <c r="E99" s="16" t="s">
        <v>24</v>
      </c>
      <c r="F99" s="16" t="s">
        <v>31</v>
      </c>
      <c r="G99" s="16" t="s">
        <v>33</v>
      </c>
      <c r="H99" s="16">
        <v>18.98</v>
      </c>
      <c r="I99" s="16">
        <v>14.54</v>
      </c>
      <c r="J99" s="16">
        <v>18.5</v>
      </c>
      <c r="K99" s="16">
        <v>4.5</v>
      </c>
      <c r="M99" s="17" t="e">
        <f t="shared" si="3"/>
        <v>#DIV/0!</v>
      </c>
      <c r="N99" s="17">
        <f t="shared" si="4"/>
        <v>1.02594594594595</v>
      </c>
      <c r="O99" s="16">
        <f t="shared" si="5"/>
        <v>4.21777777777778</v>
      </c>
      <c r="P99" s="16">
        <v>12.4</v>
      </c>
      <c r="Q99" s="16">
        <v>4.09</v>
      </c>
      <c r="R99" s="16">
        <v>13.88</v>
      </c>
      <c r="T99" s="16">
        <v>225</v>
      </c>
      <c r="U99" s="25">
        <v>19</v>
      </c>
      <c r="V99" s="15">
        <v>0</v>
      </c>
    </row>
    <row r="100" spans="1:22">
      <c r="A100" s="13">
        <v>1187</v>
      </c>
      <c r="B100" s="14" t="s">
        <v>22</v>
      </c>
      <c r="C100" s="15">
        <v>66</v>
      </c>
      <c r="D100" s="15" t="s">
        <v>27</v>
      </c>
      <c r="E100" s="16" t="s">
        <v>24</v>
      </c>
      <c r="F100" s="16" t="s">
        <v>25</v>
      </c>
      <c r="G100" s="16" t="s">
        <v>25</v>
      </c>
      <c r="H100" s="16">
        <v>61.82</v>
      </c>
      <c r="I100" s="16">
        <v>15.3</v>
      </c>
      <c r="J100" s="16">
        <v>25.84</v>
      </c>
      <c r="K100" s="16">
        <v>0.18</v>
      </c>
      <c r="M100" s="17" t="e">
        <f t="shared" si="3"/>
        <v>#DIV/0!</v>
      </c>
      <c r="N100" s="17">
        <f t="shared" si="4"/>
        <v>2.39241486068111</v>
      </c>
      <c r="O100" s="16">
        <f t="shared" si="5"/>
        <v>343.444444444444</v>
      </c>
      <c r="P100" s="16">
        <v>13.4</v>
      </c>
      <c r="Q100" s="16">
        <v>1.72</v>
      </c>
      <c r="R100" s="16">
        <v>0.6</v>
      </c>
      <c r="T100" s="16">
        <v>101</v>
      </c>
      <c r="U100" s="25">
        <v>29</v>
      </c>
      <c r="V100" s="15">
        <v>0</v>
      </c>
    </row>
    <row r="101" spans="1:22">
      <c r="A101" s="13">
        <v>1188</v>
      </c>
      <c r="B101" s="14" t="s">
        <v>26</v>
      </c>
      <c r="C101" s="15">
        <v>52</v>
      </c>
      <c r="D101" s="22" t="s">
        <v>35</v>
      </c>
      <c r="E101" s="16" t="s">
        <v>24</v>
      </c>
      <c r="F101" s="16" t="s">
        <v>25</v>
      </c>
      <c r="G101" s="16" t="s">
        <v>25</v>
      </c>
      <c r="H101" s="16">
        <v>15.74</v>
      </c>
      <c r="I101" s="16">
        <v>27.76</v>
      </c>
      <c r="J101" s="16">
        <v>3.28</v>
      </c>
      <c r="K101" s="16">
        <v>2.71</v>
      </c>
      <c r="M101" s="17" t="e">
        <f t="shared" si="3"/>
        <v>#DIV/0!</v>
      </c>
      <c r="N101" s="17">
        <f t="shared" si="4"/>
        <v>4.79878048780488</v>
      </c>
      <c r="O101" s="16">
        <f t="shared" si="5"/>
        <v>5.80811808118081</v>
      </c>
      <c r="P101" s="16">
        <v>12.3</v>
      </c>
      <c r="Q101" s="16">
        <v>6.15</v>
      </c>
      <c r="R101" s="16">
        <v>3.56</v>
      </c>
      <c r="T101" s="16">
        <v>257</v>
      </c>
      <c r="U101" s="25">
        <v>71</v>
      </c>
      <c r="V101" s="15">
        <v>0</v>
      </c>
    </row>
    <row r="102" spans="1:22">
      <c r="A102" s="13">
        <v>1189</v>
      </c>
      <c r="B102" s="14" t="s">
        <v>22</v>
      </c>
      <c r="C102" s="15">
        <v>71</v>
      </c>
      <c r="D102" s="15" t="s">
        <v>27</v>
      </c>
      <c r="E102" s="16" t="s">
        <v>24</v>
      </c>
      <c r="F102" s="16" t="s">
        <v>25</v>
      </c>
      <c r="G102" s="16" t="s">
        <v>25</v>
      </c>
      <c r="H102" s="16">
        <v>5.38</v>
      </c>
      <c r="I102" s="16">
        <v>11.97</v>
      </c>
      <c r="J102" s="16">
        <v>14.18</v>
      </c>
      <c r="K102" s="16">
        <v>1.37</v>
      </c>
      <c r="L102" s="16">
        <v>66</v>
      </c>
      <c r="M102" s="17">
        <f t="shared" si="3"/>
        <v>8.15151515151515</v>
      </c>
      <c r="N102" s="17">
        <f t="shared" si="4"/>
        <v>0.379407616361072</v>
      </c>
      <c r="O102" s="16">
        <f t="shared" si="5"/>
        <v>3.92700729927007</v>
      </c>
      <c r="P102" s="16">
        <v>16.2</v>
      </c>
      <c r="Q102" s="16">
        <v>6.09</v>
      </c>
      <c r="R102" s="16">
        <v>3.4</v>
      </c>
      <c r="S102" s="16">
        <v>11.06</v>
      </c>
      <c r="T102" s="16">
        <v>173</v>
      </c>
      <c r="U102" s="25">
        <v>18</v>
      </c>
      <c r="V102" s="15">
        <v>0</v>
      </c>
    </row>
    <row r="103" spans="1:22">
      <c r="A103" s="13">
        <v>1191</v>
      </c>
      <c r="B103" s="14" t="s">
        <v>22</v>
      </c>
      <c r="C103" s="15">
        <v>53</v>
      </c>
      <c r="D103" s="22" t="s">
        <v>28</v>
      </c>
      <c r="E103" s="16" t="s">
        <v>29</v>
      </c>
      <c r="F103" s="16" t="s">
        <v>29</v>
      </c>
      <c r="G103" s="16" t="s">
        <v>29</v>
      </c>
      <c r="H103" s="16">
        <v>4.39</v>
      </c>
      <c r="I103" s="16">
        <v>12</v>
      </c>
      <c r="J103" s="16">
        <v>44.51</v>
      </c>
      <c r="K103" s="16">
        <v>17.06</v>
      </c>
      <c r="M103" s="17" t="e">
        <f t="shared" si="3"/>
        <v>#DIV/0!</v>
      </c>
      <c r="N103" s="17">
        <f t="shared" si="4"/>
        <v>0.0986295214558526</v>
      </c>
      <c r="O103" s="16">
        <f t="shared" si="5"/>
        <v>0.257327080890973</v>
      </c>
      <c r="P103" s="16">
        <v>79.8</v>
      </c>
      <c r="Q103" s="16">
        <v>0.4</v>
      </c>
      <c r="R103" s="16">
        <v>0.98</v>
      </c>
      <c r="T103" s="16">
        <v>200</v>
      </c>
      <c r="U103" s="25">
        <v>14</v>
      </c>
      <c r="V103" s="15">
        <v>1</v>
      </c>
    </row>
    <row r="104" spans="1:22">
      <c r="A104" s="13">
        <v>1192</v>
      </c>
      <c r="B104" s="14" t="s">
        <v>22</v>
      </c>
      <c r="C104" s="15">
        <v>20</v>
      </c>
      <c r="D104" s="22" t="s">
        <v>28</v>
      </c>
      <c r="E104" s="16" t="s">
        <v>24</v>
      </c>
      <c r="F104" s="16" t="s">
        <v>25</v>
      </c>
      <c r="G104" s="16" t="s">
        <v>25</v>
      </c>
      <c r="H104" s="16">
        <v>0.78</v>
      </c>
      <c r="I104" s="16">
        <v>30.82</v>
      </c>
      <c r="J104" s="16">
        <v>47.39</v>
      </c>
      <c r="K104" s="16">
        <v>0.28</v>
      </c>
      <c r="L104" s="16">
        <v>83</v>
      </c>
      <c r="M104" s="17">
        <f t="shared" si="3"/>
        <v>0.939759036144578</v>
      </c>
      <c r="N104" s="17">
        <f t="shared" si="4"/>
        <v>0.0164591686009707</v>
      </c>
      <c r="O104" s="16">
        <f t="shared" si="5"/>
        <v>2.78571428571429</v>
      </c>
      <c r="P104" s="16">
        <v>27.3</v>
      </c>
      <c r="Q104" s="16">
        <v>1.53</v>
      </c>
      <c r="R104" s="16">
        <v>0.36</v>
      </c>
      <c r="S104" s="16">
        <v>1.21</v>
      </c>
      <c r="T104" s="16">
        <v>224</v>
      </c>
      <c r="U104" s="25">
        <v>7</v>
      </c>
      <c r="V104" s="15">
        <v>1</v>
      </c>
    </row>
    <row r="105" spans="1:22">
      <c r="A105" s="13">
        <v>1193</v>
      </c>
      <c r="B105" s="14" t="s">
        <v>22</v>
      </c>
      <c r="C105" s="15">
        <v>25</v>
      </c>
      <c r="D105" s="15" t="s">
        <v>23</v>
      </c>
      <c r="E105" s="16" t="s">
        <v>24</v>
      </c>
      <c r="F105" s="16" t="s">
        <v>25</v>
      </c>
      <c r="G105" s="16" t="s">
        <v>25</v>
      </c>
      <c r="H105" s="16">
        <v>1.11</v>
      </c>
      <c r="I105" s="16">
        <v>16.45</v>
      </c>
      <c r="J105" s="16">
        <v>5.8</v>
      </c>
      <c r="K105" s="16">
        <v>1.17</v>
      </c>
      <c r="M105" s="17" t="e">
        <f t="shared" si="3"/>
        <v>#DIV/0!</v>
      </c>
      <c r="N105" s="17">
        <f t="shared" si="4"/>
        <v>0.191379310344828</v>
      </c>
      <c r="O105" s="16">
        <f t="shared" si="5"/>
        <v>0.948717948717949</v>
      </c>
      <c r="P105" s="16">
        <v>11.5</v>
      </c>
      <c r="Q105" s="16">
        <v>3.15</v>
      </c>
      <c r="R105" s="16">
        <v>0.53</v>
      </c>
      <c r="T105" s="16">
        <v>245</v>
      </c>
      <c r="U105" s="25">
        <v>16</v>
      </c>
      <c r="V105" s="15">
        <v>0</v>
      </c>
    </row>
    <row r="106" spans="1:22">
      <c r="A106" s="13">
        <v>1194</v>
      </c>
      <c r="B106" s="14" t="s">
        <v>26</v>
      </c>
      <c r="C106" s="15">
        <v>57</v>
      </c>
      <c r="D106" s="15" t="s">
        <v>23</v>
      </c>
      <c r="E106" s="16" t="s">
        <v>29</v>
      </c>
      <c r="F106" s="16" t="s">
        <v>29</v>
      </c>
      <c r="G106" s="16" t="s">
        <v>29</v>
      </c>
      <c r="H106" s="16">
        <v>8.47</v>
      </c>
      <c r="I106" s="16">
        <v>23.01</v>
      </c>
      <c r="J106" s="16">
        <v>33.97</v>
      </c>
      <c r="K106" s="16">
        <v>0.89</v>
      </c>
      <c r="M106" s="17" t="e">
        <f t="shared" si="3"/>
        <v>#DIV/0!</v>
      </c>
      <c r="N106" s="17">
        <f t="shared" si="4"/>
        <v>0.249337650868413</v>
      </c>
      <c r="O106" s="16">
        <f t="shared" si="5"/>
        <v>9.51685393258427</v>
      </c>
      <c r="P106" s="16">
        <v>17.4</v>
      </c>
      <c r="Q106" s="16">
        <v>3.15</v>
      </c>
      <c r="R106" s="16">
        <v>3.06</v>
      </c>
      <c r="T106" s="16">
        <v>25</v>
      </c>
      <c r="U106" s="25">
        <v>3</v>
      </c>
      <c r="V106" s="15">
        <v>1</v>
      </c>
    </row>
    <row r="107" spans="1:22">
      <c r="A107" s="13">
        <v>1197</v>
      </c>
      <c r="B107" s="14" t="s">
        <v>26</v>
      </c>
      <c r="C107" s="15">
        <v>51</v>
      </c>
      <c r="D107" s="15" t="s">
        <v>23</v>
      </c>
      <c r="E107" s="16" t="s">
        <v>24</v>
      </c>
      <c r="F107" s="16" t="s">
        <v>25</v>
      </c>
      <c r="G107" s="16" t="s">
        <v>25</v>
      </c>
      <c r="H107" s="16">
        <v>1.22</v>
      </c>
      <c r="I107" s="16">
        <v>17.97</v>
      </c>
      <c r="J107" s="16">
        <v>4.8</v>
      </c>
      <c r="K107" s="16">
        <v>0.43</v>
      </c>
      <c r="M107" s="17" t="e">
        <f t="shared" si="3"/>
        <v>#DIV/0!</v>
      </c>
      <c r="N107" s="17">
        <f t="shared" si="4"/>
        <v>0.254166666666667</v>
      </c>
      <c r="O107" s="16">
        <f t="shared" si="5"/>
        <v>2.83720930232558</v>
      </c>
      <c r="P107" s="16">
        <v>12.7</v>
      </c>
      <c r="Q107" s="16">
        <v>4.49</v>
      </c>
      <c r="R107" s="16">
        <v>0.7</v>
      </c>
      <c r="T107" s="16">
        <v>256</v>
      </c>
      <c r="U107" s="25">
        <v>25</v>
      </c>
      <c r="V107" s="15">
        <v>0</v>
      </c>
    </row>
    <row r="108" spans="1:22">
      <c r="A108" s="13">
        <v>1200</v>
      </c>
      <c r="B108" s="14" t="s">
        <v>26</v>
      </c>
      <c r="C108" s="15">
        <v>31</v>
      </c>
      <c r="D108" s="15" t="s">
        <v>23</v>
      </c>
      <c r="E108" s="16" t="s">
        <v>24</v>
      </c>
      <c r="F108" s="16" t="s">
        <v>25</v>
      </c>
      <c r="G108" s="16" t="s">
        <v>25</v>
      </c>
      <c r="H108" s="16">
        <v>6.38</v>
      </c>
      <c r="I108" s="16">
        <v>17.96</v>
      </c>
      <c r="J108" s="16">
        <v>2.86</v>
      </c>
      <c r="K108" s="16">
        <v>0.82</v>
      </c>
      <c r="M108" s="17" t="e">
        <f t="shared" si="3"/>
        <v>#DIV/0!</v>
      </c>
      <c r="N108" s="17">
        <f t="shared" si="4"/>
        <v>2.23076923076923</v>
      </c>
      <c r="O108" s="16">
        <f t="shared" si="5"/>
        <v>7.78048780487805</v>
      </c>
      <c r="T108" s="16">
        <v>446</v>
      </c>
      <c r="U108" s="25">
        <v>11</v>
      </c>
      <c r="V108" s="15">
        <v>1</v>
      </c>
    </row>
    <row r="109" spans="1:22">
      <c r="A109" s="13">
        <v>1201</v>
      </c>
      <c r="B109" s="14" t="s">
        <v>26</v>
      </c>
      <c r="C109" s="15">
        <v>50</v>
      </c>
      <c r="D109" s="22" t="s">
        <v>28</v>
      </c>
      <c r="E109" s="16" t="s">
        <v>29</v>
      </c>
      <c r="F109" s="16" t="s">
        <v>29</v>
      </c>
      <c r="G109" s="16" t="s">
        <v>29</v>
      </c>
      <c r="H109" s="16">
        <v>3.92</v>
      </c>
      <c r="I109" s="16">
        <v>32.94</v>
      </c>
      <c r="J109" s="16">
        <v>3.04</v>
      </c>
      <c r="K109" s="16">
        <v>1.02</v>
      </c>
      <c r="M109" s="17" t="e">
        <f t="shared" si="3"/>
        <v>#DIV/0!</v>
      </c>
      <c r="N109" s="17">
        <f t="shared" si="4"/>
        <v>1.28947368421053</v>
      </c>
      <c r="O109" s="16">
        <f t="shared" si="5"/>
        <v>3.84313725490196</v>
      </c>
      <c r="P109" s="16">
        <v>20.5</v>
      </c>
      <c r="Q109" s="16">
        <v>1.85</v>
      </c>
      <c r="R109" s="16">
        <v>5.66</v>
      </c>
      <c r="S109" s="16">
        <v>18.4</v>
      </c>
      <c r="T109" s="16">
        <v>170</v>
      </c>
      <c r="U109" s="25">
        <v>6</v>
      </c>
      <c r="V109" s="15">
        <v>0</v>
      </c>
    </row>
    <row r="110" spans="1:22">
      <c r="A110" s="13">
        <v>1202</v>
      </c>
      <c r="B110" s="26" t="s">
        <v>26</v>
      </c>
      <c r="C110" s="15">
        <v>35</v>
      </c>
      <c r="D110" s="15" t="s">
        <v>27</v>
      </c>
      <c r="E110" s="16" t="s">
        <v>24</v>
      </c>
      <c r="F110" s="16" t="s">
        <v>25</v>
      </c>
      <c r="G110" s="16" t="s">
        <v>25</v>
      </c>
      <c r="H110" s="16">
        <v>8.6</v>
      </c>
      <c r="I110" s="16">
        <v>6.2</v>
      </c>
      <c r="J110" s="16">
        <v>16.07</v>
      </c>
      <c r="K110" s="16">
        <v>0.72</v>
      </c>
      <c r="M110" s="17" t="e">
        <f t="shared" si="3"/>
        <v>#DIV/0!</v>
      </c>
      <c r="N110" s="17">
        <f t="shared" si="4"/>
        <v>0.535158680771624</v>
      </c>
      <c r="O110" s="16">
        <f t="shared" si="5"/>
        <v>11.9444444444444</v>
      </c>
      <c r="P110" s="16">
        <v>13.1</v>
      </c>
      <c r="Q110" s="16">
        <v>6.17</v>
      </c>
      <c r="R110" s="16">
        <v>1.33</v>
      </c>
      <c r="S110" s="16">
        <v>3.55</v>
      </c>
      <c r="T110" s="16">
        <v>415</v>
      </c>
      <c r="U110" s="25">
        <v>10</v>
      </c>
      <c r="V110" s="15">
        <v>0</v>
      </c>
    </row>
    <row r="111" spans="1:22">
      <c r="A111" s="13">
        <v>1203</v>
      </c>
      <c r="B111" s="14" t="s">
        <v>26</v>
      </c>
      <c r="C111" s="15">
        <v>78</v>
      </c>
      <c r="D111" s="22" t="s">
        <v>28</v>
      </c>
      <c r="E111" s="16" t="s">
        <v>29</v>
      </c>
      <c r="F111" s="16" t="s">
        <v>29</v>
      </c>
      <c r="G111" s="16" t="s">
        <v>29</v>
      </c>
      <c r="H111" s="16">
        <v>27.27</v>
      </c>
      <c r="I111" s="16">
        <v>26.06</v>
      </c>
      <c r="J111" s="16">
        <v>12.81</v>
      </c>
      <c r="K111" s="16">
        <v>4.87</v>
      </c>
      <c r="M111" s="17" t="e">
        <f t="shared" si="3"/>
        <v>#DIV/0!</v>
      </c>
      <c r="N111" s="17">
        <f t="shared" si="4"/>
        <v>2.1288056206089</v>
      </c>
      <c r="O111" s="16">
        <f t="shared" si="5"/>
        <v>5.59958932238193</v>
      </c>
      <c r="P111" s="16">
        <v>39.1</v>
      </c>
      <c r="Q111" s="16">
        <v>2.91</v>
      </c>
      <c r="R111" s="16">
        <v>8.13</v>
      </c>
      <c r="T111" s="16">
        <v>97</v>
      </c>
      <c r="U111" s="25">
        <v>52</v>
      </c>
      <c r="V111" s="15">
        <v>1</v>
      </c>
    </row>
    <row r="112" spans="1:22">
      <c r="A112" s="13">
        <v>1205</v>
      </c>
      <c r="B112" s="14" t="s">
        <v>26</v>
      </c>
      <c r="C112" s="15">
        <v>45</v>
      </c>
      <c r="D112" s="15" t="s">
        <v>27</v>
      </c>
      <c r="E112" s="16" t="s">
        <v>24</v>
      </c>
      <c r="F112" s="16" t="s">
        <v>25</v>
      </c>
      <c r="G112" s="16" t="s">
        <v>25</v>
      </c>
      <c r="H112" s="16">
        <v>3.4</v>
      </c>
      <c r="I112" s="16">
        <v>16.32</v>
      </c>
      <c r="J112" s="16">
        <v>1.33</v>
      </c>
      <c r="K112" s="16">
        <v>1.64</v>
      </c>
      <c r="M112" s="17" t="e">
        <f t="shared" si="3"/>
        <v>#DIV/0!</v>
      </c>
      <c r="N112" s="17">
        <f t="shared" si="4"/>
        <v>2.55639097744361</v>
      </c>
      <c r="O112" s="16">
        <f t="shared" si="5"/>
        <v>2.07317073170732</v>
      </c>
      <c r="P112" s="16">
        <v>13.5</v>
      </c>
      <c r="Q112" s="16">
        <v>4.68</v>
      </c>
      <c r="R112" s="16">
        <v>1.14</v>
      </c>
      <c r="T112" s="16">
        <v>301</v>
      </c>
      <c r="U112" s="25">
        <v>15</v>
      </c>
      <c r="V112" s="15">
        <v>0</v>
      </c>
    </row>
    <row r="113" spans="1:22">
      <c r="A113" s="13">
        <v>1206</v>
      </c>
      <c r="B113" s="14" t="s">
        <v>22</v>
      </c>
      <c r="C113" s="15">
        <v>82</v>
      </c>
      <c r="D113" s="22" t="s">
        <v>28</v>
      </c>
      <c r="E113" s="16" t="s">
        <v>29</v>
      </c>
      <c r="F113" s="16" t="s">
        <v>29</v>
      </c>
      <c r="G113" s="16" t="s">
        <v>29</v>
      </c>
      <c r="H113" s="16">
        <v>50.86</v>
      </c>
      <c r="I113" s="16">
        <v>29.78</v>
      </c>
      <c r="J113" s="16">
        <v>21.26</v>
      </c>
      <c r="K113" s="16">
        <v>3.72</v>
      </c>
      <c r="L113" s="16">
        <v>70</v>
      </c>
      <c r="M113" s="17">
        <f t="shared" si="3"/>
        <v>72.6571428571429</v>
      </c>
      <c r="N113" s="17">
        <f t="shared" si="4"/>
        <v>2.39228598306679</v>
      </c>
      <c r="O113" s="16">
        <f t="shared" si="5"/>
        <v>13.6720430107527</v>
      </c>
      <c r="P113" s="16">
        <v>24.6</v>
      </c>
      <c r="Q113" s="16">
        <v>3.71</v>
      </c>
      <c r="R113" s="16">
        <v>3.42</v>
      </c>
      <c r="T113" s="16">
        <v>187</v>
      </c>
      <c r="U113" s="25">
        <v>21</v>
      </c>
      <c r="V113" s="15">
        <v>1</v>
      </c>
    </row>
    <row r="114" spans="1:22">
      <c r="A114" s="13">
        <v>1209</v>
      </c>
      <c r="B114" s="14" t="s">
        <v>26</v>
      </c>
      <c r="C114" s="15">
        <v>61</v>
      </c>
      <c r="D114" s="22" t="s">
        <v>35</v>
      </c>
      <c r="E114" s="16" t="s">
        <v>24</v>
      </c>
      <c r="F114" s="16" t="s">
        <v>25</v>
      </c>
      <c r="G114" s="16" t="s">
        <v>25</v>
      </c>
      <c r="H114" s="16">
        <v>13.34</v>
      </c>
      <c r="I114" s="16">
        <v>11.52</v>
      </c>
      <c r="J114" s="16">
        <v>16.23</v>
      </c>
      <c r="K114" s="16">
        <v>0.42</v>
      </c>
      <c r="L114" s="16">
        <v>89</v>
      </c>
      <c r="M114" s="17">
        <f t="shared" si="3"/>
        <v>14.9887640449438</v>
      </c>
      <c r="N114" s="17">
        <f t="shared" si="4"/>
        <v>0.821934688847813</v>
      </c>
      <c r="O114" s="16">
        <f t="shared" si="5"/>
        <v>31.7619047619048</v>
      </c>
      <c r="P114" s="16">
        <v>15.9</v>
      </c>
      <c r="Q114" s="16">
        <v>4.93</v>
      </c>
      <c r="R114" s="16">
        <v>1.78</v>
      </c>
      <c r="S114" s="16">
        <v>11.13</v>
      </c>
      <c r="T114" s="16">
        <v>228</v>
      </c>
      <c r="U114" s="25">
        <v>22</v>
      </c>
      <c r="V114" s="15">
        <v>0</v>
      </c>
    </row>
    <row r="115" spans="1:22">
      <c r="A115" s="13">
        <v>1212</v>
      </c>
      <c r="B115" s="14" t="s">
        <v>26</v>
      </c>
      <c r="C115" s="15">
        <v>72</v>
      </c>
      <c r="D115" s="15" t="s">
        <v>23</v>
      </c>
      <c r="E115" s="16" t="s">
        <v>24</v>
      </c>
      <c r="F115" s="16" t="s">
        <v>25</v>
      </c>
      <c r="G115" s="16" t="s">
        <v>25</v>
      </c>
      <c r="H115" s="16">
        <v>9.65</v>
      </c>
      <c r="I115" s="16">
        <v>13.99</v>
      </c>
      <c r="J115" s="16">
        <v>10.56</v>
      </c>
      <c r="K115" s="16">
        <v>1.17</v>
      </c>
      <c r="M115" s="17" t="e">
        <f t="shared" si="3"/>
        <v>#DIV/0!</v>
      </c>
      <c r="N115" s="17">
        <f t="shared" si="4"/>
        <v>0.913825757575758</v>
      </c>
      <c r="O115" s="16">
        <f t="shared" si="5"/>
        <v>8.24786324786325</v>
      </c>
      <c r="P115" s="16">
        <v>15.3</v>
      </c>
      <c r="Q115" s="16">
        <v>6.31</v>
      </c>
      <c r="R115" s="16">
        <v>1.46</v>
      </c>
      <c r="T115" s="16">
        <v>240</v>
      </c>
      <c r="U115" s="25">
        <v>20</v>
      </c>
      <c r="V115" s="15">
        <v>1</v>
      </c>
    </row>
    <row r="116" spans="1:22">
      <c r="A116" s="13">
        <v>1214</v>
      </c>
      <c r="B116" s="14" t="s">
        <v>22</v>
      </c>
      <c r="C116" s="15">
        <v>66</v>
      </c>
      <c r="D116" s="15" t="s">
        <v>23</v>
      </c>
      <c r="E116" s="16" t="s">
        <v>24</v>
      </c>
      <c r="F116" s="16" t="s">
        <v>25</v>
      </c>
      <c r="G116" s="16" t="s">
        <v>25</v>
      </c>
      <c r="H116" s="16">
        <v>6.9</v>
      </c>
      <c r="I116" s="16">
        <v>30.49</v>
      </c>
      <c r="J116" s="16">
        <v>82.99</v>
      </c>
      <c r="K116" s="16">
        <v>1.11</v>
      </c>
      <c r="L116" s="16">
        <v>111</v>
      </c>
      <c r="M116" s="17">
        <f t="shared" si="3"/>
        <v>6.21621621621622</v>
      </c>
      <c r="N116" s="17">
        <f t="shared" si="4"/>
        <v>0.0831425472948548</v>
      </c>
      <c r="O116" s="16">
        <f t="shared" si="5"/>
        <v>6.21621621621622</v>
      </c>
      <c r="P116" s="16">
        <v>11.7</v>
      </c>
      <c r="Q116" s="16">
        <v>1.97</v>
      </c>
      <c r="R116" s="16">
        <v>0.72</v>
      </c>
      <c r="S116" s="16">
        <v>5.48</v>
      </c>
      <c r="T116" s="16">
        <v>30</v>
      </c>
      <c r="U116" s="25">
        <v>13</v>
      </c>
      <c r="V116" s="15">
        <v>0</v>
      </c>
    </row>
    <row r="117" spans="1:22">
      <c r="A117" s="13">
        <v>1215</v>
      </c>
      <c r="B117" s="14" t="s">
        <v>26</v>
      </c>
      <c r="C117" s="15">
        <v>60</v>
      </c>
      <c r="D117" s="22" t="s">
        <v>28</v>
      </c>
      <c r="E117" s="16" t="s">
        <v>24</v>
      </c>
      <c r="F117" s="16" t="s">
        <v>25</v>
      </c>
      <c r="G117" s="16" t="s">
        <v>25</v>
      </c>
      <c r="H117" s="16">
        <v>12.91</v>
      </c>
      <c r="I117" s="16">
        <v>18.14</v>
      </c>
      <c r="J117" s="16">
        <v>10.19</v>
      </c>
      <c r="K117" s="16">
        <v>1.08</v>
      </c>
      <c r="L117" s="16">
        <v>85</v>
      </c>
      <c r="M117" s="17">
        <f t="shared" si="3"/>
        <v>15.1882352941176</v>
      </c>
      <c r="N117" s="17">
        <f t="shared" si="4"/>
        <v>1.26692836113837</v>
      </c>
      <c r="O117" s="16">
        <f t="shared" si="5"/>
        <v>11.9537037037037</v>
      </c>
      <c r="P117" s="16">
        <v>13.9</v>
      </c>
      <c r="Q117" s="16">
        <v>1.59</v>
      </c>
      <c r="R117" s="16">
        <v>3.66</v>
      </c>
      <c r="S117" s="16">
        <v>10.93</v>
      </c>
      <c r="T117" s="16">
        <v>179</v>
      </c>
      <c r="U117" s="25">
        <v>15</v>
      </c>
      <c r="V117" s="15">
        <v>0</v>
      </c>
    </row>
    <row r="118" spans="1:22">
      <c r="A118" s="13">
        <v>1217</v>
      </c>
      <c r="B118" s="14" t="s">
        <v>22</v>
      </c>
      <c r="C118" s="15">
        <v>62</v>
      </c>
      <c r="D118" s="15" t="s">
        <v>27</v>
      </c>
      <c r="E118" s="16" t="s">
        <v>24</v>
      </c>
      <c r="F118" s="16" t="s">
        <v>25</v>
      </c>
      <c r="G118" s="16" t="s">
        <v>25</v>
      </c>
      <c r="H118" s="16">
        <v>6.67</v>
      </c>
      <c r="I118" s="16">
        <v>11.85</v>
      </c>
      <c r="J118" s="16">
        <v>10.55</v>
      </c>
      <c r="K118" s="16">
        <v>0.83</v>
      </c>
      <c r="L118" s="16">
        <v>44</v>
      </c>
      <c r="M118" s="17">
        <f t="shared" si="3"/>
        <v>15.1590909090909</v>
      </c>
      <c r="N118" s="17">
        <f t="shared" si="4"/>
        <v>0.632227488151659</v>
      </c>
      <c r="O118" s="16">
        <f t="shared" si="5"/>
        <v>8.03614457831325</v>
      </c>
      <c r="P118" s="16">
        <v>17.1</v>
      </c>
      <c r="Q118" s="16">
        <v>2.03</v>
      </c>
      <c r="R118" s="16">
        <v>3.66</v>
      </c>
      <c r="S118" s="16">
        <v>16.23</v>
      </c>
      <c r="T118" s="16">
        <v>128</v>
      </c>
      <c r="U118" s="25">
        <v>33</v>
      </c>
      <c r="V118" s="15">
        <v>0</v>
      </c>
    </row>
    <row r="119" spans="1:22">
      <c r="A119" s="13">
        <v>1219</v>
      </c>
      <c r="B119" s="14" t="s">
        <v>26</v>
      </c>
      <c r="C119" s="15">
        <v>89</v>
      </c>
      <c r="D119" s="15" t="s">
        <v>23</v>
      </c>
      <c r="E119" s="16" t="s">
        <v>24</v>
      </c>
      <c r="F119" s="16" t="s">
        <v>25</v>
      </c>
      <c r="G119" s="16" t="s">
        <v>25</v>
      </c>
      <c r="H119" s="16">
        <v>2.59</v>
      </c>
      <c r="I119" s="16">
        <v>34.14</v>
      </c>
      <c r="J119" s="16">
        <v>6.44</v>
      </c>
      <c r="K119" s="16">
        <v>1.29</v>
      </c>
      <c r="M119" s="17" t="e">
        <f t="shared" si="3"/>
        <v>#DIV/0!</v>
      </c>
      <c r="N119" s="17">
        <f t="shared" si="4"/>
        <v>0.402173913043478</v>
      </c>
      <c r="O119" s="16">
        <f t="shared" si="5"/>
        <v>2.0077519379845</v>
      </c>
      <c r="P119" s="16">
        <v>12.5</v>
      </c>
      <c r="Q119" s="16">
        <v>6.95</v>
      </c>
      <c r="R119" s="16">
        <v>0.96</v>
      </c>
      <c r="S119" s="16">
        <v>2.5</v>
      </c>
      <c r="T119" s="16">
        <v>138</v>
      </c>
      <c r="U119" s="25">
        <v>32</v>
      </c>
      <c r="V119" s="15">
        <v>0</v>
      </c>
    </row>
    <row r="120" spans="1:22">
      <c r="A120" s="13">
        <v>1221</v>
      </c>
      <c r="B120" s="14" t="s">
        <v>26</v>
      </c>
      <c r="C120" s="15">
        <v>43</v>
      </c>
      <c r="D120" s="15" t="s">
        <v>27</v>
      </c>
      <c r="E120" s="16" t="s">
        <v>24</v>
      </c>
      <c r="F120" s="16" t="s">
        <v>25</v>
      </c>
      <c r="G120" s="16" t="s">
        <v>25</v>
      </c>
      <c r="H120" s="16">
        <v>37.93</v>
      </c>
      <c r="I120" s="16">
        <v>11.73</v>
      </c>
      <c r="J120" s="16">
        <v>11.44</v>
      </c>
      <c r="K120" s="16">
        <v>1.21</v>
      </c>
      <c r="L120" s="16">
        <v>107</v>
      </c>
      <c r="M120" s="17">
        <f t="shared" si="3"/>
        <v>35.4485981308411</v>
      </c>
      <c r="N120" s="17">
        <f t="shared" si="4"/>
        <v>3.31555944055944</v>
      </c>
      <c r="O120" s="16">
        <f t="shared" si="5"/>
        <v>31.3471074380165</v>
      </c>
      <c r="P120" s="16">
        <v>13.6</v>
      </c>
      <c r="Q120" s="16">
        <v>4.45</v>
      </c>
      <c r="R120" s="16">
        <v>11.19</v>
      </c>
      <c r="S120" s="16">
        <v>58.23</v>
      </c>
      <c r="T120" s="16">
        <v>103</v>
      </c>
      <c r="U120" s="25">
        <v>27</v>
      </c>
      <c r="V120" s="15">
        <v>0</v>
      </c>
    </row>
    <row r="121" spans="1:22">
      <c r="A121" s="13">
        <v>1223</v>
      </c>
      <c r="B121" s="14" t="s">
        <v>22</v>
      </c>
      <c r="C121" s="15">
        <v>91</v>
      </c>
      <c r="D121" s="15" t="s">
        <v>27</v>
      </c>
      <c r="E121" s="16" t="s">
        <v>24</v>
      </c>
      <c r="F121" s="16" t="s">
        <v>25</v>
      </c>
      <c r="G121" s="16" t="s">
        <v>25</v>
      </c>
      <c r="H121" s="16">
        <v>4.55</v>
      </c>
      <c r="I121" s="16">
        <v>25.03</v>
      </c>
      <c r="J121" s="16">
        <v>26.4</v>
      </c>
      <c r="K121" s="16">
        <v>1.45</v>
      </c>
      <c r="M121" s="17" t="e">
        <f t="shared" si="3"/>
        <v>#DIV/0!</v>
      </c>
      <c r="N121" s="17">
        <f t="shared" si="4"/>
        <v>0.172348484848485</v>
      </c>
      <c r="O121" s="16">
        <f t="shared" si="5"/>
        <v>3.13793103448276</v>
      </c>
      <c r="P121" s="16">
        <v>12.6</v>
      </c>
      <c r="Q121" s="16">
        <v>3.27</v>
      </c>
      <c r="R121" s="16">
        <v>1.69</v>
      </c>
      <c r="T121" s="16">
        <v>141</v>
      </c>
      <c r="U121" s="25">
        <v>42</v>
      </c>
      <c r="V121" s="15">
        <v>1</v>
      </c>
    </row>
    <row r="122" spans="1:22">
      <c r="A122" s="13">
        <v>1224</v>
      </c>
      <c r="B122" s="14" t="s">
        <v>22</v>
      </c>
      <c r="C122" s="15">
        <v>91</v>
      </c>
      <c r="D122" s="15" t="s">
        <v>27</v>
      </c>
      <c r="E122" s="16" t="s">
        <v>24</v>
      </c>
      <c r="F122" s="16" t="s">
        <v>25</v>
      </c>
      <c r="G122" s="16" t="s">
        <v>25</v>
      </c>
      <c r="H122" s="16">
        <v>5.74</v>
      </c>
      <c r="I122" s="16">
        <v>22.11</v>
      </c>
      <c r="J122" s="16">
        <v>9.11</v>
      </c>
      <c r="K122" s="16">
        <v>1.11</v>
      </c>
      <c r="M122" s="17" t="e">
        <f t="shared" si="3"/>
        <v>#DIV/0!</v>
      </c>
      <c r="N122" s="17">
        <f t="shared" si="4"/>
        <v>0.630076838638858</v>
      </c>
      <c r="O122" s="16">
        <f t="shared" si="5"/>
        <v>5.17117117117117</v>
      </c>
      <c r="P122" s="16">
        <v>15.4</v>
      </c>
      <c r="Q122" s="16">
        <v>3.18</v>
      </c>
      <c r="R122" s="16">
        <v>1.73</v>
      </c>
      <c r="T122" s="16">
        <v>32</v>
      </c>
      <c r="U122" s="25">
        <v>42</v>
      </c>
      <c r="V122" s="15">
        <v>1</v>
      </c>
    </row>
    <row r="123" spans="1:22">
      <c r="A123" s="13">
        <v>1225</v>
      </c>
      <c r="B123" s="14" t="s">
        <v>26</v>
      </c>
      <c r="C123" s="15">
        <v>55</v>
      </c>
      <c r="D123" s="15" t="s">
        <v>27</v>
      </c>
      <c r="E123" s="16" t="s">
        <v>24</v>
      </c>
      <c r="F123" s="16" t="s">
        <v>25</v>
      </c>
      <c r="G123" s="16" t="s">
        <v>25</v>
      </c>
      <c r="H123" s="16">
        <v>4.74</v>
      </c>
      <c r="I123" s="16">
        <v>30.94</v>
      </c>
      <c r="J123" s="16">
        <v>14.47</v>
      </c>
      <c r="K123" s="16">
        <v>0.51</v>
      </c>
      <c r="L123" s="16">
        <v>52</v>
      </c>
      <c r="M123" s="17">
        <f t="shared" si="3"/>
        <v>9.11538461538461</v>
      </c>
      <c r="N123" s="17">
        <f t="shared" si="4"/>
        <v>0.327574291637871</v>
      </c>
      <c r="O123" s="16">
        <f t="shared" si="5"/>
        <v>9.29411764705882</v>
      </c>
      <c r="P123" s="16">
        <v>15.9</v>
      </c>
      <c r="Q123" s="16">
        <v>2.49</v>
      </c>
      <c r="R123" s="16">
        <v>2.27</v>
      </c>
      <c r="S123" s="16">
        <v>8.98</v>
      </c>
      <c r="T123" s="16">
        <v>304</v>
      </c>
      <c r="U123" s="25">
        <v>64</v>
      </c>
      <c r="V123" s="15">
        <v>0</v>
      </c>
    </row>
    <row r="124" spans="1:22">
      <c r="A124" s="13">
        <v>1226</v>
      </c>
      <c r="B124" s="14" t="s">
        <v>26</v>
      </c>
      <c r="C124" s="15">
        <v>55</v>
      </c>
      <c r="D124" s="15" t="s">
        <v>27</v>
      </c>
      <c r="E124" s="16" t="s">
        <v>24</v>
      </c>
      <c r="F124" s="16" t="s">
        <v>25</v>
      </c>
      <c r="G124" s="16" t="s">
        <v>25</v>
      </c>
      <c r="H124" s="16">
        <v>5.95</v>
      </c>
      <c r="I124" s="16">
        <v>40.9</v>
      </c>
      <c r="J124" s="16">
        <v>8.16</v>
      </c>
      <c r="K124" s="16">
        <v>1.09</v>
      </c>
      <c r="M124" s="17" t="e">
        <f t="shared" si="3"/>
        <v>#DIV/0!</v>
      </c>
      <c r="N124" s="17">
        <f t="shared" si="4"/>
        <v>0.729166666666667</v>
      </c>
      <c r="O124" s="16">
        <f t="shared" si="5"/>
        <v>5.45871559633027</v>
      </c>
      <c r="P124" s="16">
        <v>13</v>
      </c>
      <c r="Q124" s="16">
        <v>3.07</v>
      </c>
      <c r="R124" s="16">
        <v>3.53</v>
      </c>
      <c r="S124" s="16">
        <v>15.55</v>
      </c>
      <c r="T124" s="16">
        <v>561</v>
      </c>
      <c r="U124" s="25">
        <v>64</v>
      </c>
      <c r="V124" s="15">
        <v>0</v>
      </c>
    </row>
    <row r="125" spans="1:22">
      <c r="A125" s="13">
        <v>1227</v>
      </c>
      <c r="B125" s="14" t="s">
        <v>26</v>
      </c>
      <c r="C125" s="15">
        <v>40</v>
      </c>
      <c r="D125" s="22" t="s">
        <v>35</v>
      </c>
      <c r="E125" s="16" t="s">
        <v>29</v>
      </c>
      <c r="F125" s="16" t="s">
        <v>29</v>
      </c>
      <c r="G125" s="16" t="s">
        <v>29</v>
      </c>
      <c r="H125" s="16">
        <v>2.76</v>
      </c>
      <c r="I125" s="16">
        <v>29.4</v>
      </c>
      <c r="J125" s="16">
        <v>6.96</v>
      </c>
      <c r="K125" s="16">
        <v>0.98</v>
      </c>
      <c r="L125" s="16">
        <v>78</v>
      </c>
      <c r="M125" s="17">
        <f t="shared" si="3"/>
        <v>3.53846153846154</v>
      </c>
      <c r="N125" s="17">
        <f t="shared" si="4"/>
        <v>0.396551724137931</v>
      </c>
      <c r="O125" s="16">
        <f t="shared" si="5"/>
        <v>2.81632653061224</v>
      </c>
      <c r="P125" s="16">
        <v>42.5</v>
      </c>
      <c r="Q125" s="16">
        <v>4.72</v>
      </c>
      <c r="R125" s="16">
        <v>20</v>
      </c>
      <c r="S125" s="16">
        <v>101.21</v>
      </c>
      <c r="T125" s="16">
        <v>131</v>
      </c>
      <c r="U125" s="25">
        <v>12</v>
      </c>
      <c r="V125" s="15">
        <v>1</v>
      </c>
    </row>
    <row r="126" spans="1:22">
      <c r="A126" s="13">
        <v>1230</v>
      </c>
      <c r="B126" s="14" t="s">
        <v>22</v>
      </c>
      <c r="C126" s="15">
        <v>71</v>
      </c>
      <c r="D126" s="15" t="s">
        <v>30</v>
      </c>
      <c r="E126" s="16" t="s">
        <v>24</v>
      </c>
      <c r="F126" s="16" t="s">
        <v>25</v>
      </c>
      <c r="G126" s="16" t="s">
        <v>25</v>
      </c>
      <c r="H126" s="16">
        <v>4.14</v>
      </c>
      <c r="I126" s="16">
        <v>24.21</v>
      </c>
      <c r="J126" s="16">
        <v>4.98</v>
      </c>
      <c r="K126" s="16">
        <v>1.27</v>
      </c>
      <c r="M126" s="17" t="e">
        <f t="shared" si="3"/>
        <v>#DIV/0!</v>
      </c>
      <c r="N126" s="17">
        <f t="shared" si="4"/>
        <v>0.831325301204819</v>
      </c>
      <c r="O126" s="16">
        <f t="shared" si="5"/>
        <v>3.25984251968504</v>
      </c>
      <c r="P126" s="16">
        <v>13.8</v>
      </c>
      <c r="Q126" s="16">
        <v>3.91</v>
      </c>
      <c r="R126" s="16">
        <v>1.9</v>
      </c>
      <c r="T126" s="16">
        <v>267</v>
      </c>
      <c r="U126" s="25">
        <v>27</v>
      </c>
      <c r="V126" s="15">
        <v>0</v>
      </c>
    </row>
    <row r="127" spans="1:22">
      <c r="A127" s="13">
        <v>1231</v>
      </c>
      <c r="B127" s="14" t="s">
        <v>22</v>
      </c>
      <c r="C127" s="15">
        <v>69</v>
      </c>
      <c r="D127" s="15" t="s">
        <v>27</v>
      </c>
      <c r="E127" s="16" t="s">
        <v>24</v>
      </c>
      <c r="F127" s="16" t="s">
        <v>25</v>
      </c>
      <c r="G127" s="16" t="s">
        <v>25</v>
      </c>
      <c r="H127" s="16">
        <v>5.79</v>
      </c>
      <c r="I127" s="16">
        <v>21.86</v>
      </c>
      <c r="J127" s="16">
        <v>3.1</v>
      </c>
      <c r="K127" s="16">
        <v>2.44</v>
      </c>
      <c r="M127" s="17" t="e">
        <f t="shared" si="3"/>
        <v>#DIV/0!</v>
      </c>
      <c r="N127" s="17">
        <f t="shared" si="4"/>
        <v>1.86774193548387</v>
      </c>
      <c r="O127" s="16">
        <f t="shared" si="5"/>
        <v>2.37295081967213</v>
      </c>
      <c r="P127" s="16">
        <v>11.9</v>
      </c>
      <c r="Q127" s="16">
        <v>6.67</v>
      </c>
      <c r="R127" s="16">
        <v>3.99</v>
      </c>
      <c r="T127" s="16">
        <v>188</v>
      </c>
      <c r="U127" s="25">
        <v>10</v>
      </c>
      <c r="V127" s="15">
        <v>0</v>
      </c>
    </row>
    <row r="128" spans="1:22">
      <c r="A128" s="13">
        <v>1233</v>
      </c>
      <c r="B128" s="14" t="s">
        <v>22</v>
      </c>
      <c r="C128" s="15">
        <v>83</v>
      </c>
      <c r="D128" s="22" t="s">
        <v>35</v>
      </c>
      <c r="E128" s="16" t="s">
        <v>24</v>
      </c>
      <c r="F128" s="16" t="s">
        <v>31</v>
      </c>
      <c r="G128" s="16" t="s">
        <v>33</v>
      </c>
      <c r="H128" s="16">
        <v>12.75</v>
      </c>
      <c r="I128" s="16">
        <v>23.23</v>
      </c>
      <c r="J128" s="16">
        <v>19.74</v>
      </c>
      <c r="K128" s="16">
        <v>0.48</v>
      </c>
      <c r="M128" s="17" t="e">
        <f t="shared" si="3"/>
        <v>#DIV/0!</v>
      </c>
      <c r="N128" s="17">
        <f t="shared" si="4"/>
        <v>0.645896656534954</v>
      </c>
      <c r="O128" s="16">
        <f t="shared" si="5"/>
        <v>26.5625</v>
      </c>
      <c r="P128" s="16">
        <v>17</v>
      </c>
      <c r="Q128" s="16">
        <v>1.68</v>
      </c>
      <c r="R128" s="16">
        <v>3.14</v>
      </c>
      <c r="T128" s="16">
        <v>86</v>
      </c>
      <c r="U128" s="25"/>
      <c r="V128" s="15">
        <v>1</v>
      </c>
    </row>
    <row r="129" spans="1:22">
      <c r="A129" s="13">
        <v>1236</v>
      </c>
      <c r="B129" s="14" t="s">
        <v>26</v>
      </c>
      <c r="C129" s="15">
        <v>80</v>
      </c>
      <c r="D129" s="15" t="s">
        <v>27</v>
      </c>
      <c r="E129" s="16" t="s">
        <v>24</v>
      </c>
      <c r="F129" s="16" t="s">
        <v>25</v>
      </c>
      <c r="G129" s="16" t="s">
        <v>25</v>
      </c>
      <c r="H129" s="16">
        <v>2.18</v>
      </c>
      <c r="I129" s="16">
        <v>11.6</v>
      </c>
      <c r="J129" s="16">
        <v>10.14</v>
      </c>
      <c r="K129" s="16">
        <v>0.57</v>
      </c>
      <c r="M129" s="17" t="e">
        <f t="shared" si="3"/>
        <v>#DIV/0!</v>
      </c>
      <c r="N129" s="17">
        <f t="shared" si="4"/>
        <v>0.214990138067061</v>
      </c>
      <c r="O129" s="16">
        <f t="shared" si="5"/>
        <v>3.82456140350877</v>
      </c>
      <c r="P129" s="16">
        <v>12.6</v>
      </c>
      <c r="Q129" s="16">
        <v>4.55</v>
      </c>
      <c r="R129" s="16">
        <v>0.31</v>
      </c>
      <c r="T129" s="16">
        <v>477</v>
      </c>
      <c r="U129" s="25">
        <v>10</v>
      </c>
      <c r="V129" s="15">
        <v>1</v>
      </c>
    </row>
    <row r="130" spans="1:22">
      <c r="A130" s="13">
        <v>1237</v>
      </c>
      <c r="B130" s="14" t="s">
        <v>22</v>
      </c>
      <c r="C130" s="15">
        <v>58</v>
      </c>
      <c r="D130" s="15" t="s">
        <v>23</v>
      </c>
      <c r="E130" s="16" t="s">
        <v>29</v>
      </c>
      <c r="F130" s="16" t="s">
        <v>29</v>
      </c>
      <c r="G130" s="16" t="s">
        <v>29</v>
      </c>
      <c r="H130" s="16">
        <v>12.53</v>
      </c>
      <c r="I130" s="16">
        <v>23.83</v>
      </c>
      <c r="J130" s="16">
        <v>12.8</v>
      </c>
      <c r="K130" s="16">
        <v>2.02</v>
      </c>
      <c r="M130" s="17" t="e">
        <f t="shared" si="3"/>
        <v>#DIV/0!</v>
      </c>
      <c r="N130" s="17">
        <f t="shared" si="4"/>
        <v>0.97890625</v>
      </c>
      <c r="O130" s="16">
        <f t="shared" si="5"/>
        <v>6.2029702970297</v>
      </c>
      <c r="P130" s="16">
        <v>12.3</v>
      </c>
      <c r="Q130" s="16">
        <v>3.29</v>
      </c>
      <c r="R130" s="16">
        <v>9.22</v>
      </c>
      <c r="T130" s="16">
        <v>5</v>
      </c>
      <c r="U130" s="25">
        <v>14</v>
      </c>
      <c r="V130" s="15">
        <v>0</v>
      </c>
    </row>
    <row r="131" spans="1:22">
      <c r="A131" s="13">
        <v>1238</v>
      </c>
      <c r="B131" s="14" t="s">
        <v>26</v>
      </c>
      <c r="C131" s="15">
        <v>65</v>
      </c>
      <c r="D131" s="15" t="s">
        <v>23</v>
      </c>
      <c r="E131" s="16" t="s">
        <v>24</v>
      </c>
      <c r="F131" s="16" t="s">
        <v>25</v>
      </c>
      <c r="G131" s="16" t="s">
        <v>25</v>
      </c>
      <c r="H131" s="16">
        <v>5.61</v>
      </c>
      <c r="I131" s="16">
        <v>21.81</v>
      </c>
      <c r="J131" s="16">
        <v>12.76</v>
      </c>
      <c r="K131" s="16">
        <v>1.41</v>
      </c>
      <c r="M131" s="17" t="e">
        <f t="shared" ref="M131:M194" si="6">100*H131/L131</f>
        <v>#DIV/0!</v>
      </c>
      <c r="N131" s="17">
        <f t="shared" ref="N131:N194" si="7">H131/J131</f>
        <v>0.439655172413793</v>
      </c>
      <c r="O131" s="16">
        <f t="shared" ref="O131:O194" si="8">H131/K131</f>
        <v>3.97872340425532</v>
      </c>
      <c r="P131" s="16">
        <v>13.3</v>
      </c>
      <c r="Q131" s="16">
        <v>5.8</v>
      </c>
      <c r="R131" s="16">
        <v>1.99</v>
      </c>
      <c r="S131" s="16">
        <v>7.26</v>
      </c>
      <c r="T131" s="16">
        <v>257</v>
      </c>
      <c r="U131" s="25">
        <v>51</v>
      </c>
      <c r="V131" s="15">
        <v>0</v>
      </c>
    </row>
    <row r="132" spans="1:22">
      <c r="A132" s="13">
        <v>1239</v>
      </c>
      <c r="B132" s="14" t="s">
        <v>26</v>
      </c>
      <c r="C132" s="15">
        <v>38</v>
      </c>
      <c r="D132" s="15" t="s">
        <v>23</v>
      </c>
      <c r="E132" s="16" t="s">
        <v>24</v>
      </c>
      <c r="F132" s="16" t="s">
        <v>25</v>
      </c>
      <c r="G132" s="16" t="s">
        <v>25</v>
      </c>
      <c r="H132" s="16">
        <v>4.73</v>
      </c>
      <c r="I132" s="16">
        <v>17.35</v>
      </c>
      <c r="J132" s="16">
        <v>7.42</v>
      </c>
      <c r="K132" s="16">
        <v>2.96</v>
      </c>
      <c r="M132" s="17" t="e">
        <f t="shared" si="6"/>
        <v>#DIV/0!</v>
      </c>
      <c r="N132" s="17">
        <f t="shared" si="7"/>
        <v>0.637466307277628</v>
      </c>
      <c r="O132" s="16">
        <f t="shared" si="8"/>
        <v>1.59797297297297</v>
      </c>
      <c r="P132" s="16">
        <v>12.8</v>
      </c>
      <c r="Q132" s="16">
        <v>6.82</v>
      </c>
      <c r="R132" s="16">
        <v>3.47</v>
      </c>
      <c r="T132" s="16">
        <v>193</v>
      </c>
      <c r="U132" s="25">
        <v>30</v>
      </c>
      <c r="V132" s="15">
        <v>0</v>
      </c>
    </row>
    <row r="133" spans="1:22">
      <c r="A133" s="13">
        <v>1240</v>
      </c>
      <c r="B133" s="14" t="s">
        <v>26</v>
      </c>
      <c r="C133" s="15">
        <v>56</v>
      </c>
      <c r="D133" s="15" t="s">
        <v>27</v>
      </c>
      <c r="E133" s="16" t="s">
        <v>24</v>
      </c>
      <c r="F133" s="16" t="s">
        <v>25</v>
      </c>
      <c r="G133" s="16" t="s">
        <v>25</v>
      </c>
      <c r="H133" s="16">
        <v>4.52</v>
      </c>
      <c r="I133" s="16">
        <v>9.23</v>
      </c>
      <c r="J133" s="16">
        <v>18.62</v>
      </c>
      <c r="K133" s="16">
        <v>1.66</v>
      </c>
      <c r="M133" s="17" t="e">
        <f t="shared" si="6"/>
        <v>#DIV/0!</v>
      </c>
      <c r="N133" s="17">
        <f t="shared" si="7"/>
        <v>0.242749731471536</v>
      </c>
      <c r="O133" s="16">
        <f t="shared" si="8"/>
        <v>2.72289156626506</v>
      </c>
      <c r="P133" s="16">
        <v>13</v>
      </c>
      <c r="Q133" s="16">
        <v>6.52</v>
      </c>
      <c r="R133" s="16">
        <v>1.77</v>
      </c>
      <c r="T133" s="16">
        <v>58</v>
      </c>
      <c r="U133" s="25">
        <v>34</v>
      </c>
      <c r="V133" s="15">
        <v>0</v>
      </c>
    </row>
    <row r="134" spans="1:22">
      <c r="A134" s="13">
        <v>1241</v>
      </c>
      <c r="B134" s="14" t="s">
        <v>22</v>
      </c>
      <c r="C134" s="15">
        <v>65</v>
      </c>
      <c r="D134" s="15" t="s">
        <v>23</v>
      </c>
      <c r="E134" s="16" t="s">
        <v>24</v>
      </c>
      <c r="F134" s="16" t="s">
        <v>25</v>
      </c>
      <c r="G134" s="16" t="s">
        <v>25</v>
      </c>
      <c r="H134" s="16">
        <v>8.6</v>
      </c>
      <c r="I134" s="16">
        <v>29.17</v>
      </c>
      <c r="J134" s="16">
        <v>41.56</v>
      </c>
      <c r="K134" s="16">
        <v>1.33</v>
      </c>
      <c r="M134" s="17" t="e">
        <f t="shared" si="6"/>
        <v>#DIV/0!</v>
      </c>
      <c r="N134" s="17">
        <f t="shared" si="7"/>
        <v>0.206929740134745</v>
      </c>
      <c r="O134" s="16">
        <f t="shared" si="8"/>
        <v>6.46616541353383</v>
      </c>
      <c r="P134" s="16">
        <v>10.1</v>
      </c>
      <c r="Q134" s="16">
        <v>4.04</v>
      </c>
      <c r="R134" s="16">
        <v>4.72</v>
      </c>
      <c r="S134" s="16">
        <v>25.46</v>
      </c>
      <c r="T134" s="16">
        <v>187</v>
      </c>
      <c r="U134" s="25">
        <v>49</v>
      </c>
      <c r="V134" s="15">
        <v>0</v>
      </c>
    </row>
    <row r="135" spans="1:22">
      <c r="A135" s="13">
        <v>1244</v>
      </c>
      <c r="B135" s="14" t="s">
        <v>26</v>
      </c>
      <c r="C135" s="15">
        <v>62</v>
      </c>
      <c r="D135" s="15" t="s">
        <v>27</v>
      </c>
      <c r="E135" s="16" t="s">
        <v>24</v>
      </c>
      <c r="F135" s="16" t="s">
        <v>25</v>
      </c>
      <c r="G135" s="16" t="s">
        <v>25</v>
      </c>
      <c r="H135" s="16">
        <v>32.44</v>
      </c>
      <c r="I135" s="16">
        <v>22.2</v>
      </c>
      <c r="J135" s="16">
        <v>19.42</v>
      </c>
      <c r="K135" s="16">
        <v>4.84</v>
      </c>
      <c r="M135" s="17" t="e">
        <f t="shared" si="6"/>
        <v>#DIV/0!</v>
      </c>
      <c r="N135" s="17">
        <f t="shared" si="7"/>
        <v>1.67044284243048</v>
      </c>
      <c r="O135" s="16">
        <f t="shared" si="8"/>
        <v>6.70247933884298</v>
      </c>
      <c r="P135" s="16">
        <v>14</v>
      </c>
      <c r="Q135" s="16">
        <v>7.68</v>
      </c>
      <c r="R135" s="16">
        <v>6.23</v>
      </c>
      <c r="T135" s="16">
        <v>132</v>
      </c>
      <c r="U135" s="25">
        <v>40</v>
      </c>
      <c r="V135" s="15">
        <v>0</v>
      </c>
    </row>
    <row r="136" spans="1:22">
      <c r="A136" s="13">
        <v>1246</v>
      </c>
      <c r="B136" s="14" t="s">
        <v>26</v>
      </c>
      <c r="C136" s="15">
        <v>72</v>
      </c>
      <c r="D136" s="15" t="s">
        <v>27</v>
      </c>
      <c r="E136" s="16" t="s">
        <v>24</v>
      </c>
      <c r="F136" s="16" t="s">
        <v>25</v>
      </c>
      <c r="G136" s="16" t="s">
        <v>25</v>
      </c>
      <c r="H136" s="16">
        <v>5.68</v>
      </c>
      <c r="I136" s="16">
        <v>21.56</v>
      </c>
      <c r="J136" s="16">
        <v>14.85</v>
      </c>
      <c r="K136" s="16">
        <v>1.43</v>
      </c>
      <c r="M136" s="17" t="e">
        <f t="shared" si="6"/>
        <v>#DIV/0!</v>
      </c>
      <c r="N136" s="17">
        <f t="shared" si="7"/>
        <v>0.382491582491582</v>
      </c>
      <c r="O136" s="16">
        <f t="shared" si="8"/>
        <v>3.97202797202797</v>
      </c>
      <c r="P136" s="16">
        <v>11</v>
      </c>
      <c r="Q136" s="16">
        <v>5.92</v>
      </c>
      <c r="R136" s="16">
        <v>3.26</v>
      </c>
      <c r="S136" s="16">
        <v>14.48</v>
      </c>
      <c r="T136" s="16">
        <v>66</v>
      </c>
      <c r="U136" s="25">
        <v>45</v>
      </c>
      <c r="V136" s="15">
        <v>0</v>
      </c>
    </row>
    <row r="137" spans="1:22">
      <c r="A137" s="13">
        <v>1248</v>
      </c>
      <c r="B137" s="14" t="s">
        <v>26</v>
      </c>
      <c r="C137" s="15">
        <v>47</v>
      </c>
      <c r="D137" s="15" t="s">
        <v>23</v>
      </c>
      <c r="E137" s="16" t="s">
        <v>24</v>
      </c>
      <c r="F137" s="16" t="s">
        <v>25</v>
      </c>
      <c r="G137" s="16" t="s">
        <v>25</v>
      </c>
      <c r="H137" s="16">
        <v>5.38</v>
      </c>
      <c r="I137" s="16">
        <v>17.32</v>
      </c>
      <c r="J137" s="16">
        <v>18.13</v>
      </c>
      <c r="K137" s="16">
        <v>1.05</v>
      </c>
      <c r="M137" s="17" t="e">
        <f t="shared" si="6"/>
        <v>#DIV/0!</v>
      </c>
      <c r="N137" s="17">
        <f t="shared" si="7"/>
        <v>0.296745725317154</v>
      </c>
      <c r="O137" s="16">
        <f t="shared" si="8"/>
        <v>5.12380952380952</v>
      </c>
      <c r="P137" s="16">
        <v>10.7</v>
      </c>
      <c r="Q137" s="16">
        <v>3.23</v>
      </c>
      <c r="R137" s="16">
        <v>1.54</v>
      </c>
      <c r="S137" s="16">
        <v>5.96</v>
      </c>
      <c r="T137" s="16">
        <v>172</v>
      </c>
      <c r="U137" s="25">
        <v>42</v>
      </c>
      <c r="V137" s="15">
        <v>0</v>
      </c>
    </row>
    <row r="138" spans="1:22">
      <c r="A138" s="13">
        <v>1249</v>
      </c>
      <c r="B138" s="14" t="s">
        <v>26</v>
      </c>
      <c r="C138" s="15">
        <v>47</v>
      </c>
      <c r="D138" s="15" t="s">
        <v>23</v>
      </c>
      <c r="E138" s="16" t="s">
        <v>24</v>
      </c>
      <c r="F138" s="16" t="s">
        <v>25</v>
      </c>
      <c r="G138" s="16" t="s">
        <v>25</v>
      </c>
      <c r="H138" s="16">
        <v>17.13</v>
      </c>
      <c r="I138" s="16">
        <v>13.84</v>
      </c>
      <c r="J138" s="16">
        <v>8.55</v>
      </c>
      <c r="K138" s="16">
        <v>1.59</v>
      </c>
      <c r="M138" s="17" t="e">
        <f t="shared" si="6"/>
        <v>#DIV/0!</v>
      </c>
      <c r="N138" s="17">
        <f t="shared" si="7"/>
        <v>2.00350877192982</v>
      </c>
      <c r="O138" s="16">
        <f t="shared" si="8"/>
        <v>10.7735849056604</v>
      </c>
      <c r="P138" s="16">
        <v>10.2</v>
      </c>
      <c r="Q138" s="16">
        <v>3.18</v>
      </c>
      <c r="R138" s="16">
        <v>1.87</v>
      </c>
      <c r="S138" s="16">
        <v>9.07</v>
      </c>
      <c r="T138" s="16">
        <v>497</v>
      </c>
      <c r="U138" s="25">
        <v>42</v>
      </c>
      <c r="V138" s="15">
        <v>0</v>
      </c>
    </row>
    <row r="139" spans="1:22">
      <c r="A139" s="13">
        <v>1251</v>
      </c>
      <c r="B139" s="14" t="s">
        <v>22</v>
      </c>
      <c r="C139" s="15">
        <v>74</v>
      </c>
      <c r="D139" s="15" t="s">
        <v>27</v>
      </c>
      <c r="E139" s="16" t="s">
        <v>24</v>
      </c>
      <c r="F139" s="16" t="s">
        <v>25</v>
      </c>
      <c r="G139" s="16" t="s">
        <v>25</v>
      </c>
      <c r="H139" s="16">
        <v>21.2</v>
      </c>
      <c r="I139" s="16">
        <v>10.04</v>
      </c>
      <c r="J139" s="16">
        <v>12.24</v>
      </c>
      <c r="K139" s="16">
        <v>1.01</v>
      </c>
      <c r="M139" s="17" t="e">
        <f t="shared" si="6"/>
        <v>#DIV/0!</v>
      </c>
      <c r="N139" s="17">
        <f t="shared" si="7"/>
        <v>1.73202614379085</v>
      </c>
      <c r="O139" s="16">
        <f t="shared" si="8"/>
        <v>20.990099009901</v>
      </c>
      <c r="P139" s="16">
        <v>12.7</v>
      </c>
      <c r="Q139" s="16">
        <v>5.7</v>
      </c>
      <c r="R139" s="16">
        <v>5.32</v>
      </c>
      <c r="S139" s="16">
        <v>14.43</v>
      </c>
      <c r="T139" s="16">
        <v>251</v>
      </c>
      <c r="U139" s="25">
        <v>27</v>
      </c>
      <c r="V139" s="15">
        <v>0</v>
      </c>
    </row>
    <row r="140" spans="1:22">
      <c r="A140" s="13">
        <v>1256</v>
      </c>
      <c r="B140" s="14" t="s">
        <v>26</v>
      </c>
      <c r="C140" s="15">
        <v>73</v>
      </c>
      <c r="D140" s="15" t="s">
        <v>23</v>
      </c>
      <c r="E140" s="16" t="s">
        <v>24</v>
      </c>
      <c r="F140" s="16" t="s">
        <v>25</v>
      </c>
      <c r="G140" s="16" t="s">
        <v>25</v>
      </c>
      <c r="H140" s="16">
        <v>3.58</v>
      </c>
      <c r="I140" s="16">
        <v>14.96</v>
      </c>
      <c r="J140" s="16">
        <v>9.11</v>
      </c>
      <c r="K140" s="16">
        <v>1.04</v>
      </c>
      <c r="L140" s="16">
        <v>83</v>
      </c>
      <c r="M140" s="17">
        <f t="shared" si="6"/>
        <v>4.31325301204819</v>
      </c>
      <c r="N140" s="17">
        <f t="shared" si="7"/>
        <v>0.392974753018661</v>
      </c>
      <c r="O140" s="16">
        <f t="shared" si="8"/>
        <v>3.44230769230769</v>
      </c>
      <c r="P140" s="16">
        <v>14.2</v>
      </c>
      <c r="Q140" s="16">
        <v>5.91</v>
      </c>
      <c r="R140" s="16">
        <v>1.4</v>
      </c>
      <c r="S140" s="16">
        <v>3.54</v>
      </c>
      <c r="T140" s="16">
        <v>240</v>
      </c>
      <c r="U140" s="25">
        <v>16</v>
      </c>
      <c r="V140" s="15">
        <v>0</v>
      </c>
    </row>
    <row r="141" spans="1:22">
      <c r="A141" s="13">
        <v>1260</v>
      </c>
      <c r="B141" s="14" t="s">
        <v>26</v>
      </c>
      <c r="C141" s="15">
        <v>80</v>
      </c>
      <c r="D141" s="15" t="s">
        <v>27</v>
      </c>
      <c r="E141" s="16" t="s">
        <v>24</v>
      </c>
      <c r="F141" s="16" t="s">
        <v>25</v>
      </c>
      <c r="G141" s="16" t="s">
        <v>25</v>
      </c>
      <c r="H141" s="16">
        <v>1.64</v>
      </c>
      <c r="I141" s="16">
        <v>11.34</v>
      </c>
      <c r="J141" s="16">
        <v>5.23</v>
      </c>
      <c r="K141" s="16">
        <v>0.43</v>
      </c>
      <c r="M141" s="17" t="e">
        <f t="shared" si="6"/>
        <v>#DIV/0!</v>
      </c>
      <c r="N141" s="17">
        <f t="shared" si="7"/>
        <v>0.313575525812619</v>
      </c>
      <c r="O141" s="16">
        <f t="shared" si="8"/>
        <v>3.81395348837209</v>
      </c>
      <c r="P141" s="16">
        <v>12.1</v>
      </c>
      <c r="Q141" s="16">
        <v>4.25</v>
      </c>
      <c r="R141" s="16">
        <v>1.14</v>
      </c>
      <c r="S141" s="16">
        <v>9.51</v>
      </c>
      <c r="T141" s="16">
        <v>147</v>
      </c>
      <c r="U141" s="25">
        <v>35</v>
      </c>
      <c r="V141" s="15">
        <v>0</v>
      </c>
    </row>
    <row r="142" spans="1:22">
      <c r="A142" s="13">
        <v>1262</v>
      </c>
      <c r="B142" s="14" t="s">
        <v>26</v>
      </c>
      <c r="C142" s="15">
        <v>58</v>
      </c>
      <c r="D142" s="15" t="s">
        <v>27</v>
      </c>
      <c r="E142" s="16" t="s">
        <v>24</v>
      </c>
      <c r="F142" s="16" t="s">
        <v>25</v>
      </c>
      <c r="G142" s="16" t="s">
        <v>25</v>
      </c>
      <c r="H142" s="16">
        <v>7.55</v>
      </c>
      <c r="I142" s="16">
        <v>12.23</v>
      </c>
      <c r="J142" s="16">
        <v>16.76</v>
      </c>
      <c r="K142" s="16">
        <v>0.38</v>
      </c>
      <c r="M142" s="17" t="e">
        <f t="shared" si="6"/>
        <v>#DIV/0!</v>
      </c>
      <c r="N142" s="17">
        <f t="shared" si="7"/>
        <v>0.450477326968974</v>
      </c>
      <c r="O142" s="16">
        <f t="shared" si="8"/>
        <v>19.8684210526316</v>
      </c>
      <c r="P142" s="16">
        <v>12.9</v>
      </c>
      <c r="Q142" s="16">
        <v>4.75</v>
      </c>
      <c r="R142" s="16">
        <v>0.76</v>
      </c>
      <c r="T142" s="16">
        <v>219</v>
      </c>
      <c r="U142" s="25">
        <v>66</v>
      </c>
      <c r="V142" s="15">
        <v>0</v>
      </c>
    </row>
    <row r="143" spans="1:22">
      <c r="A143" s="13">
        <v>1266</v>
      </c>
      <c r="B143" s="14" t="s">
        <v>26</v>
      </c>
      <c r="C143" s="15">
        <v>78</v>
      </c>
      <c r="D143" s="15" t="s">
        <v>23</v>
      </c>
      <c r="E143" s="16" t="s">
        <v>24</v>
      </c>
      <c r="F143" s="16" t="s">
        <v>25</v>
      </c>
      <c r="G143" s="16" t="s">
        <v>25</v>
      </c>
      <c r="H143" s="16">
        <v>4.05</v>
      </c>
      <c r="I143" s="16">
        <v>26.3</v>
      </c>
      <c r="J143" s="16">
        <v>19.89</v>
      </c>
      <c r="K143" s="16">
        <v>1.36</v>
      </c>
      <c r="M143" s="17" t="e">
        <f t="shared" si="6"/>
        <v>#DIV/0!</v>
      </c>
      <c r="N143" s="17">
        <f t="shared" si="7"/>
        <v>0.203619909502262</v>
      </c>
      <c r="O143" s="16">
        <f t="shared" si="8"/>
        <v>2.97794117647059</v>
      </c>
      <c r="P143" s="16">
        <v>14</v>
      </c>
      <c r="Q143" s="16">
        <v>4.3</v>
      </c>
      <c r="R143" s="16">
        <v>2.46</v>
      </c>
      <c r="S143" s="16">
        <v>11.43</v>
      </c>
      <c r="T143" s="16">
        <v>280</v>
      </c>
      <c r="U143" s="25">
        <v>25</v>
      </c>
      <c r="V143" s="15">
        <v>0</v>
      </c>
    </row>
    <row r="144" spans="1:22">
      <c r="A144" s="13">
        <v>1268</v>
      </c>
      <c r="B144" s="14" t="s">
        <v>26</v>
      </c>
      <c r="C144" s="15">
        <v>54</v>
      </c>
      <c r="D144" s="15" t="s">
        <v>27</v>
      </c>
      <c r="E144" s="16" t="s">
        <v>24</v>
      </c>
      <c r="F144" s="16" t="s">
        <v>25</v>
      </c>
      <c r="G144" s="16" t="s">
        <v>25</v>
      </c>
      <c r="H144" s="16">
        <v>12.04</v>
      </c>
      <c r="I144" s="16">
        <v>14.18</v>
      </c>
      <c r="J144" s="16">
        <v>3.98</v>
      </c>
      <c r="K144" s="16">
        <v>1.57</v>
      </c>
      <c r="M144" s="17" t="e">
        <f t="shared" si="6"/>
        <v>#DIV/0!</v>
      </c>
      <c r="N144" s="17">
        <f t="shared" si="7"/>
        <v>3.0251256281407</v>
      </c>
      <c r="O144" s="16">
        <f t="shared" si="8"/>
        <v>7.6687898089172</v>
      </c>
      <c r="P144" s="16">
        <v>11.3</v>
      </c>
      <c r="Q144" s="16">
        <v>4.53</v>
      </c>
      <c r="R144" s="16">
        <v>6.58</v>
      </c>
      <c r="S144" s="16">
        <v>23.34</v>
      </c>
      <c r="T144" s="16">
        <v>248</v>
      </c>
      <c r="U144" s="25">
        <v>33</v>
      </c>
      <c r="V144" s="15">
        <v>0</v>
      </c>
    </row>
    <row r="145" spans="1:22">
      <c r="A145" s="13">
        <v>1270</v>
      </c>
      <c r="B145" s="14" t="s">
        <v>22</v>
      </c>
      <c r="C145" s="15">
        <v>84</v>
      </c>
      <c r="D145" s="15" t="s">
        <v>23</v>
      </c>
      <c r="E145" s="16" t="s">
        <v>24</v>
      </c>
      <c r="F145" s="16" t="s">
        <v>25</v>
      </c>
      <c r="G145" s="16" t="s">
        <v>25</v>
      </c>
      <c r="H145" s="16">
        <v>39.22</v>
      </c>
      <c r="I145" s="16">
        <v>21.04</v>
      </c>
      <c r="J145" s="16">
        <v>12.69</v>
      </c>
      <c r="K145" s="16">
        <v>2.35</v>
      </c>
      <c r="L145" s="16">
        <v>46</v>
      </c>
      <c r="M145" s="17">
        <f t="shared" si="6"/>
        <v>85.2608695652174</v>
      </c>
      <c r="N145" s="17">
        <f t="shared" si="7"/>
        <v>3.09062253743105</v>
      </c>
      <c r="O145" s="16">
        <f t="shared" si="8"/>
        <v>16.6893617021277</v>
      </c>
      <c r="P145" s="16">
        <v>22.2</v>
      </c>
      <c r="Q145" s="16">
        <v>2.13</v>
      </c>
      <c r="R145" s="16">
        <v>1.67</v>
      </c>
      <c r="S145" s="16">
        <v>4.65</v>
      </c>
      <c r="T145" s="16">
        <v>129</v>
      </c>
      <c r="U145" s="25">
        <v>33</v>
      </c>
      <c r="V145" s="15">
        <v>0</v>
      </c>
    </row>
    <row r="146" spans="1:22">
      <c r="A146" s="13">
        <v>1273</v>
      </c>
      <c r="B146" s="14" t="s">
        <v>26</v>
      </c>
      <c r="C146" s="15">
        <v>66</v>
      </c>
      <c r="D146" s="15" t="s">
        <v>23</v>
      </c>
      <c r="E146" s="16" t="s">
        <v>24</v>
      </c>
      <c r="F146" s="16" t="s">
        <v>31</v>
      </c>
      <c r="G146" s="16" t="s">
        <v>33</v>
      </c>
      <c r="H146" s="16">
        <v>7.05</v>
      </c>
      <c r="I146" s="16">
        <v>23.39</v>
      </c>
      <c r="J146" s="16">
        <v>4.8</v>
      </c>
      <c r="K146" s="16">
        <v>0.78</v>
      </c>
      <c r="M146" s="17" t="e">
        <f t="shared" si="6"/>
        <v>#DIV/0!</v>
      </c>
      <c r="N146" s="17">
        <f t="shared" si="7"/>
        <v>1.46875</v>
      </c>
      <c r="O146" s="16">
        <f t="shared" si="8"/>
        <v>9.03846153846154</v>
      </c>
      <c r="P146" s="16">
        <v>13.8</v>
      </c>
      <c r="Q146" s="16">
        <v>3.34</v>
      </c>
      <c r="R146" s="16">
        <v>2.5</v>
      </c>
      <c r="T146" s="16">
        <v>142</v>
      </c>
      <c r="U146" s="25">
        <v>23</v>
      </c>
      <c r="V146" s="15">
        <v>1</v>
      </c>
    </row>
    <row r="147" spans="1:22">
      <c r="A147" s="13">
        <v>1276</v>
      </c>
      <c r="B147" s="14" t="s">
        <v>22</v>
      </c>
      <c r="C147" s="15">
        <v>73</v>
      </c>
      <c r="D147" s="15" t="s">
        <v>23</v>
      </c>
      <c r="E147" s="16" t="s">
        <v>24</v>
      </c>
      <c r="F147" s="16" t="s">
        <v>25</v>
      </c>
      <c r="G147" s="16" t="s">
        <v>25</v>
      </c>
      <c r="H147" s="16">
        <v>2.2</v>
      </c>
      <c r="I147" s="16">
        <v>20</v>
      </c>
      <c r="J147" s="16">
        <v>13.39</v>
      </c>
      <c r="K147" s="16">
        <v>0.78</v>
      </c>
      <c r="M147" s="17" t="e">
        <f t="shared" si="6"/>
        <v>#DIV/0!</v>
      </c>
      <c r="N147" s="17">
        <f t="shared" si="7"/>
        <v>0.164301717699776</v>
      </c>
      <c r="O147" s="16">
        <f t="shared" si="8"/>
        <v>2.82051282051282</v>
      </c>
      <c r="P147" s="16">
        <v>13.6</v>
      </c>
      <c r="Q147" s="16">
        <v>5.12</v>
      </c>
      <c r="R147" s="16">
        <v>0.34</v>
      </c>
      <c r="T147" s="16">
        <v>135</v>
      </c>
      <c r="U147" s="25">
        <v>28</v>
      </c>
      <c r="V147" s="15">
        <v>0</v>
      </c>
    </row>
    <row r="148" spans="1:22">
      <c r="A148" s="13">
        <v>1283</v>
      </c>
      <c r="B148" s="14" t="s">
        <v>22</v>
      </c>
      <c r="C148" s="15">
        <v>37</v>
      </c>
      <c r="D148" s="22" t="s">
        <v>28</v>
      </c>
      <c r="E148" s="16" t="s">
        <v>24</v>
      </c>
      <c r="F148" s="16" t="s">
        <v>25</v>
      </c>
      <c r="G148" s="16" t="s">
        <v>25</v>
      </c>
      <c r="H148" s="16">
        <v>21.05</v>
      </c>
      <c r="I148" s="16">
        <v>16.01</v>
      </c>
      <c r="J148" s="16">
        <v>19.35</v>
      </c>
      <c r="K148" s="16">
        <v>0.35</v>
      </c>
      <c r="M148" s="17" t="e">
        <f t="shared" si="6"/>
        <v>#DIV/0!</v>
      </c>
      <c r="N148" s="17">
        <f t="shared" si="7"/>
        <v>1.08785529715762</v>
      </c>
      <c r="O148" s="16">
        <f t="shared" si="8"/>
        <v>60.1428571428571</v>
      </c>
      <c r="P148" s="16">
        <v>10</v>
      </c>
      <c r="Q148" s="16">
        <v>3</v>
      </c>
      <c r="R148" s="16">
        <v>0.41</v>
      </c>
      <c r="T148" s="16">
        <v>393</v>
      </c>
      <c r="U148" s="25">
        <v>44</v>
      </c>
      <c r="V148" s="15">
        <v>0</v>
      </c>
    </row>
    <row r="149" spans="1:22">
      <c r="A149" s="13">
        <v>1284</v>
      </c>
      <c r="B149" s="14" t="s">
        <v>26</v>
      </c>
      <c r="C149" s="15">
        <v>33</v>
      </c>
      <c r="D149" s="15" t="s">
        <v>23</v>
      </c>
      <c r="E149" s="16" t="s">
        <v>24</v>
      </c>
      <c r="F149" s="16" t="s">
        <v>31</v>
      </c>
      <c r="G149" s="16" t="s">
        <v>32</v>
      </c>
      <c r="H149" s="16">
        <v>10.91</v>
      </c>
      <c r="I149" s="16">
        <v>102.25</v>
      </c>
      <c r="J149" s="16">
        <v>23.04</v>
      </c>
      <c r="K149" s="16">
        <v>3.69</v>
      </c>
      <c r="M149" s="17" t="e">
        <f t="shared" si="6"/>
        <v>#DIV/0!</v>
      </c>
      <c r="N149" s="17">
        <f t="shared" si="7"/>
        <v>0.473524305555556</v>
      </c>
      <c r="O149" s="16">
        <f t="shared" si="8"/>
        <v>2.95663956639566</v>
      </c>
      <c r="P149" s="16">
        <v>10.8</v>
      </c>
      <c r="Q149" s="16">
        <v>3.17</v>
      </c>
      <c r="R149" s="16">
        <v>2.73</v>
      </c>
      <c r="T149" s="16">
        <v>80</v>
      </c>
      <c r="U149" s="25">
        <v>17</v>
      </c>
      <c r="V149" s="15">
        <v>0</v>
      </c>
    </row>
    <row r="150" spans="1:22">
      <c r="A150" s="13">
        <v>1287</v>
      </c>
      <c r="B150" s="14" t="s">
        <v>26</v>
      </c>
      <c r="C150" s="15">
        <v>58</v>
      </c>
      <c r="D150" s="15" t="s">
        <v>27</v>
      </c>
      <c r="E150" s="16" t="s">
        <v>24</v>
      </c>
      <c r="F150" s="16" t="s">
        <v>25</v>
      </c>
      <c r="G150" s="16" t="s">
        <v>25</v>
      </c>
      <c r="H150" s="16">
        <v>22.67</v>
      </c>
      <c r="I150" s="16">
        <v>16.03</v>
      </c>
      <c r="J150" s="16">
        <v>22.33</v>
      </c>
      <c r="K150" s="16">
        <v>3.14</v>
      </c>
      <c r="L150" s="16">
        <v>92</v>
      </c>
      <c r="M150" s="17">
        <f t="shared" si="6"/>
        <v>24.6413043478261</v>
      </c>
      <c r="N150" s="17">
        <f t="shared" si="7"/>
        <v>1.01522615315719</v>
      </c>
      <c r="O150" s="16">
        <f t="shared" si="8"/>
        <v>7.21974522292994</v>
      </c>
      <c r="P150" s="16">
        <v>14.7</v>
      </c>
      <c r="Q150" s="16">
        <v>5.48</v>
      </c>
      <c r="R150" s="16">
        <v>11.28</v>
      </c>
      <c r="S150" s="16">
        <v>41</v>
      </c>
      <c r="T150" s="16">
        <v>87</v>
      </c>
      <c r="U150" s="25">
        <v>28</v>
      </c>
      <c r="V150" s="15">
        <v>0</v>
      </c>
    </row>
    <row r="151" spans="1:22">
      <c r="A151" s="13">
        <v>1288</v>
      </c>
      <c r="B151" s="14" t="s">
        <v>26</v>
      </c>
      <c r="C151" s="15">
        <v>70</v>
      </c>
      <c r="D151" s="15" t="s">
        <v>27</v>
      </c>
      <c r="E151" s="16" t="s">
        <v>29</v>
      </c>
      <c r="F151" s="16" t="s">
        <v>29</v>
      </c>
      <c r="G151" s="16" t="s">
        <v>29</v>
      </c>
      <c r="H151" s="16">
        <v>4.88</v>
      </c>
      <c r="I151" s="16">
        <v>31.21</v>
      </c>
      <c r="J151" s="16">
        <v>6.53</v>
      </c>
      <c r="K151" s="16">
        <v>0.4</v>
      </c>
      <c r="M151" s="17" t="e">
        <f t="shared" si="6"/>
        <v>#DIV/0!</v>
      </c>
      <c r="N151" s="17">
        <f t="shared" si="7"/>
        <v>0.747320061255743</v>
      </c>
      <c r="O151" s="16">
        <f t="shared" si="8"/>
        <v>12.2</v>
      </c>
      <c r="P151" s="16">
        <v>18.2</v>
      </c>
      <c r="Q151" s="16">
        <v>3.51</v>
      </c>
      <c r="R151" s="16">
        <v>14.81</v>
      </c>
      <c r="T151" s="16">
        <v>26</v>
      </c>
      <c r="U151" s="25">
        <v>20</v>
      </c>
      <c r="V151" s="15">
        <v>1</v>
      </c>
    </row>
    <row r="152" spans="1:22">
      <c r="A152" s="13">
        <v>1290</v>
      </c>
      <c r="B152" s="14" t="s">
        <v>22</v>
      </c>
      <c r="C152" s="15">
        <v>91</v>
      </c>
      <c r="D152" s="15" t="s">
        <v>23</v>
      </c>
      <c r="E152" s="16" t="s">
        <v>24</v>
      </c>
      <c r="F152" s="16" t="s">
        <v>25</v>
      </c>
      <c r="G152" s="16" t="s">
        <v>25</v>
      </c>
      <c r="H152" s="16">
        <v>1.86</v>
      </c>
      <c r="I152" s="16">
        <v>24.84</v>
      </c>
      <c r="J152" s="16">
        <v>22.46</v>
      </c>
      <c r="K152" s="16">
        <v>0.4</v>
      </c>
      <c r="M152" s="17" t="e">
        <f t="shared" si="6"/>
        <v>#DIV/0!</v>
      </c>
      <c r="N152" s="17">
        <f t="shared" si="7"/>
        <v>0.0828138913624221</v>
      </c>
      <c r="O152" s="16">
        <f t="shared" si="8"/>
        <v>4.65</v>
      </c>
      <c r="P152" s="16">
        <v>15</v>
      </c>
      <c r="Q152" s="16">
        <v>3.57</v>
      </c>
      <c r="R152" s="16">
        <v>0.35</v>
      </c>
      <c r="T152" s="16">
        <v>171</v>
      </c>
      <c r="U152" s="25">
        <v>28</v>
      </c>
      <c r="V152" s="15">
        <v>1</v>
      </c>
    </row>
    <row r="153" spans="1:22">
      <c r="A153" s="13">
        <v>1291</v>
      </c>
      <c r="B153" s="14" t="s">
        <v>22</v>
      </c>
      <c r="C153" s="15">
        <v>33</v>
      </c>
      <c r="D153" s="15" t="s">
        <v>23</v>
      </c>
      <c r="E153" s="16" t="s">
        <v>29</v>
      </c>
      <c r="F153" s="16" t="s">
        <v>29</v>
      </c>
      <c r="G153" s="16" t="s">
        <v>29</v>
      </c>
      <c r="H153" s="16">
        <v>37.95</v>
      </c>
      <c r="I153" s="16">
        <v>22.04</v>
      </c>
      <c r="J153" s="16">
        <v>11.74</v>
      </c>
      <c r="K153" s="16">
        <v>0.62</v>
      </c>
      <c r="L153" s="16">
        <v>37</v>
      </c>
      <c r="M153" s="17">
        <f t="shared" si="6"/>
        <v>102.567567567568</v>
      </c>
      <c r="N153" s="17">
        <f t="shared" si="7"/>
        <v>3.23253833049404</v>
      </c>
      <c r="O153" s="16">
        <f t="shared" si="8"/>
        <v>61.2096774193548</v>
      </c>
      <c r="P153" s="16">
        <v>18.7</v>
      </c>
      <c r="Q153" s="16">
        <v>2.03</v>
      </c>
      <c r="R153" s="16">
        <v>9.74</v>
      </c>
      <c r="S153" s="16">
        <v>37.32</v>
      </c>
      <c r="T153" s="16">
        <v>56</v>
      </c>
      <c r="U153" s="25">
        <v>18</v>
      </c>
      <c r="V153" s="15">
        <v>0</v>
      </c>
    </row>
    <row r="154" spans="1:22">
      <c r="A154" s="13">
        <v>1293</v>
      </c>
      <c r="B154" s="14" t="s">
        <v>22</v>
      </c>
      <c r="C154" s="15">
        <v>48</v>
      </c>
      <c r="D154" s="22" t="s">
        <v>35</v>
      </c>
      <c r="E154" s="16" t="s">
        <v>24</v>
      </c>
      <c r="F154" s="16" t="s">
        <v>25</v>
      </c>
      <c r="G154" s="16" t="s">
        <v>25</v>
      </c>
      <c r="H154" s="16">
        <v>18.75</v>
      </c>
      <c r="I154" s="16">
        <v>8.03</v>
      </c>
      <c r="J154" s="16">
        <v>4.26</v>
      </c>
      <c r="K154" s="16">
        <v>1.9</v>
      </c>
      <c r="M154" s="17" t="e">
        <f t="shared" si="6"/>
        <v>#DIV/0!</v>
      </c>
      <c r="N154" s="17">
        <f t="shared" si="7"/>
        <v>4.40140845070423</v>
      </c>
      <c r="O154" s="16">
        <f t="shared" si="8"/>
        <v>9.86842105263158</v>
      </c>
      <c r="P154" s="16">
        <v>13.7</v>
      </c>
      <c r="Q154" s="16">
        <v>7.72</v>
      </c>
      <c r="R154" s="16">
        <v>10.07</v>
      </c>
      <c r="T154" s="16">
        <v>348</v>
      </c>
      <c r="U154" s="25">
        <v>22</v>
      </c>
      <c r="V154" s="15">
        <v>0</v>
      </c>
    </row>
    <row r="155" spans="1:22">
      <c r="A155" s="13">
        <v>1297</v>
      </c>
      <c r="B155" s="14" t="s">
        <v>22</v>
      </c>
      <c r="C155" s="15">
        <v>85</v>
      </c>
      <c r="D155" s="15" t="s">
        <v>27</v>
      </c>
      <c r="E155" s="16" t="s">
        <v>24</v>
      </c>
      <c r="F155" s="16" t="s">
        <v>25</v>
      </c>
      <c r="G155" s="16" t="s">
        <v>25</v>
      </c>
      <c r="H155" s="16">
        <v>38.06</v>
      </c>
      <c r="I155" s="16">
        <v>8.55</v>
      </c>
      <c r="J155" s="16">
        <v>8.54</v>
      </c>
      <c r="K155" s="16">
        <v>2.24</v>
      </c>
      <c r="L155" s="16">
        <v>65</v>
      </c>
      <c r="M155" s="17">
        <f t="shared" si="6"/>
        <v>58.5538461538462</v>
      </c>
      <c r="N155" s="17">
        <f t="shared" si="7"/>
        <v>4.45667447306792</v>
      </c>
      <c r="O155" s="16">
        <f t="shared" si="8"/>
        <v>16.9910714285714</v>
      </c>
      <c r="P155" s="16">
        <v>14.6</v>
      </c>
      <c r="Q155" s="16">
        <v>2.03</v>
      </c>
      <c r="R155" s="16">
        <v>3.81</v>
      </c>
      <c r="S155" s="16">
        <v>12.94</v>
      </c>
      <c r="T155" s="16">
        <v>163</v>
      </c>
      <c r="U155" s="25">
        <v>58</v>
      </c>
      <c r="V155" s="15">
        <v>0</v>
      </c>
    </row>
    <row r="156" spans="1:22">
      <c r="A156" s="13">
        <v>1298</v>
      </c>
      <c r="B156" s="14" t="s">
        <v>26</v>
      </c>
      <c r="C156" s="15">
        <v>31</v>
      </c>
      <c r="D156" s="22" t="s">
        <v>36</v>
      </c>
      <c r="E156" s="16" t="s">
        <v>29</v>
      </c>
      <c r="F156" s="16" t="s">
        <v>29</v>
      </c>
      <c r="G156" s="16" t="s">
        <v>29</v>
      </c>
      <c r="H156" s="16">
        <v>120</v>
      </c>
      <c r="I156" s="16">
        <v>22.65</v>
      </c>
      <c r="J156" s="16">
        <v>2.97</v>
      </c>
      <c r="K156" s="16">
        <v>35.64</v>
      </c>
      <c r="L156" s="16">
        <v>109</v>
      </c>
      <c r="M156" s="17">
        <f t="shared" si="6"/>
        <v>110.091743119266</v>
      </c>
      <c r="N156" s="17">
        <f t="shared" si="7"/>
        <v>40.4040404040404</v>
      </c>
      <c r="O156" s="16">
        <f t="shared" si="8"/>
        <v>3.36700336700337</v>
      </c>
      <c r="P156" s="16">
        <v>19.7</v>
      </c>
      <c r="Q156" s="16">
        <v>1.02</v>
      </c>
      <c r="R156" s="16">
        <v>20</v>
      </c>
      <c r="S156" s="16">
        <v>150</v>
      </c>
      <c r="T156" s="16">
        <v>71</v>
      </c>
      <c r="U156" s="25">
        <v>12</v>
      </c>
      <c r="V156" s="15">
        <v>1</v>
      </c>
    </row>
    <row r="157" spans="1:22">
      <c r="A157" s="13">
        <v>1299</v>
      </c>
      <c r="B157" s="14" t="s">
        <v>26</v>
      </c>
      <c r="C157" s="15">
        <v>72</v>
      </c>
      <c r="D157" s="15" t="s">
        <v>23</v>
      </c>
      <c r="E157" s="16" t="s">
        <v>24</v>
      </c>
      <c r="F157" s="16" t="s">
        <v>31</v>
      </c>
      <c r="G157" s="16" t="s">
        <v>32</v>
      </c>
      <c r="H157" s="16">
        <v>16.05</v>
      </c>
      <c r="I157" s="16">
        <v>13.45</v>
      </c>
      <c r="J157" s="16">
        <v>24.11</v>
      </c>
      <c r="K157" s="16">
        <v>1.49</v>
      </c>
      <c r="L157" s="16">
        <v>30</v>
      </c>
      <c r="M157" s="17">
        <f t="shared" si="6"/>
        <v>53.5</v>
      </c>
      <c r="N157" s="17">
        <f t="shared" si="7"/>
        <v>0.665698880132725</v>
      </c>
      <c r="O157" s="16">
        <f t="shared" si="8"/>
        <v>10.7718120805369</v>
      </c>
      <c r="P157" s="16">
        <v>17.1</v>
      </c>
      <c r="Q157" s="16">
        <v>4.27</v>
      </c>
      <c r="R157" s="16">
        <v>8.05</v>
      </c>
      <c r="S157" s="16">
        <v>34.21</v>
      </c>
      <c r="T157" s="16">
        <v>61</v>
      </c>
      <c r="U157" s="25">
        <v>22</v>
      </c>
      <c r="V157" s="15">
        <v>1</v>
      </c>
    </row>
    <row r="158" spans="1:22">
      <c r="A158" s="13">
        <v>1300</v>
      </c>
      <c r="B158" s="14" t="s">
        <v>22</v>
      </c>
      <c r="C158" s="15">
        <v>75</v>
      </c>
      <c r="D158" s="22" t="s">
        <v>28</v>
      </c>
      <c r="E158" s="16" t="s">
        <v>29</v>
      </c>
      <c r="F158" s="16" t="s">
        <v>29</v>
      </c>
      <c r="G158" s="16" t="s">
        <v>29</v>
      </c>
      <c r="H158" s="16">
        <v>67.87</v>
      </c>
      <c r="I158" s="16">
        <v>23.93</v>
      </c>
      <c r="J158" s="16">
        <v>28.04</v>
      </c>
      <c r="K158" s="16">
        <v>5.28</v>
      </c>
      <c r="M158" s="17" t="e">
        <f t="shared" si="6"/>
        <v>#DIV/0!</v>
      </c>
      <c r="N158" s="17">
        <f t="shared" si="7"/>
        <v>2.42047075606277</v>
      </c>
      <c r="O158" s="16">
        <f t="shared" si="8"/>
        <v>12.8541666666667</v>
      </c>
      <c r="P158" s="16">
        <v>28.1</v>
      </c>
      <c r="Q158" s="16">
        <v>1</v>
      </c>
      <c r="R158" s="16">
        <v>40.98</v>
      </c>
      <c r="T158" s="16">
        <v>33</v>
      </c>
      <c r="U158" s="25">
        <v>1</v>
      </c>
      <c r="V158" s="15">
        <v>1</v>
      </c>
    </row>
    <row r="159" spans="1:22">
      <c r="A159" s="13">
        <v>1301</v>
      </c>
      <c r="B159" s="14" t="s">
        <v>22</v>
      </c>
      <c r="C159" s="15">
        <v>76</v>
      </c>
      <c r="D159" s="15" t="s">
        <v>23</v>
      </c>
      <c r="E159" s="16" t="s">
        <v>24</v>
      </c>
      <c r="F159" s="16" t="s">
        <v>25</v>
      </c>
      <c r="G159" s="16" t="s">
        <v>25</v>
      </c>
      <c r="H159" s="16">
        <v>3.14</v>
      </c>
      <c r="M159" s="17" t="e">
        <f t="shared" si="6"/>
        <v>#DIV/0!</v>
      </c>
      <c r="N159" s="17" t="e">
        <f t="shared" si="7"/>
        <v>#DIV/0!</v>
      </c>
      <c r="O159" s="16" t="e">
        <f t="shared" si="8"/>
        <v>#DIV/0!</v>
      </c>
      <c r="P159" s="16">
        <v>14.3</v>
      </c>
      <c r="Q159" s="16">
        <v>6.56</v>
      </c>
      <c r="R159" s="16">
        <v>1.31</v>
      </c>
      <c r="T159" s="16">
        <v>34</v>
      </c>
      <c r="U159" s="25">
        <v>53</v>
      </c>
      <c r="V159" s="15">
        <v>0</v>
      </c>
    </row>
    <row r="160" spans="1:22">
      <c r="A160" s="13">
        <v>1302</v>
      </c>
      <c r="B160" s="14" t="s">
        <v>22</v>
      </c>
      <c r="C160" s="15">
        <v>76</v>
      </c>
      <c r="D160" s="15" t="s">
        <v>23</v>
      </c>
      <c r="E160" s="16" t="s">
        <v>24</v>
      </c>
      <c r="F160" s="16" t="s">
        <v>31</v>
      </c>
      <c r="G160" s="16" t="s">
        <v>33</v>
      </c>
      <c r="H160" s="16">
        <v>5.36</v>
      </c>
      <c r="I160" s="16">
        <v>14.69</v>
      </c>
      <c r="J160" s="16">
        <v>12</v>
      </c>
      <c r="K160" s="16">
        <v>1.38</v>
      </c>
      <c r="L160" s="16">
        <v>114</v>
      </c>
      <c r="M160" s="17">
        <f t="shared" si="6"/>
        <v>4.70175438596491</v>
      </c>
      <c r="N160" s="17">
        <f t="shared" si="7"/>
        <v>0.446666666666667</v>
      </c>
      <c r="O160" s="16">
        <f t="shared" si="8"/>
        <v>3.88405797101449</v>
      </c>
      <c r="P160" s="16">
        <v>13.3</v>
      </c>
      <c r="Q160" s="16">
        <v>4.33</v>
      </c>
      <c r="R160" s="16">
        <v>0.78</v>
      </c>
      <c r="S160" s="16">
        <v>2.36</v>
      </c>
      <c r="T160" s="16">
        <v>346</v>
      </c>
      <c r="U160" s="25">
        <v>53</v>
      </c>
      <c r="V160" s="15">
        <v>0</v>
      </c>
    </row>
    <row r="161" spans="1:22">
      <c r="A161" s="13">
        <v>1305</v>
      </c>
      <c r="B161" s="14" t="s">
        <v>26</v>
      </c>
      <c r="C161" s="15">
        <v>80</v>
      </c>
      <c r="D161" s="15" t="s">
        <v>23</v>
      </c>
      <c r="E161" s="16" t="s">
        <v>24</v>
      </c>
      <c r="F161" s="16" t="s">
        <v>25</v>
      </c>
      <c r="G161" s="16" t="s">
        <v>25</v>
      </c>
      <c r="H161" s="16">
        <v>14.21</v>
      </c>
      <c r="I161" s="16">
        <v>42.12</v>
      </c>
      <c r="J161" s="16">
        <v>12.12</v>
      </c>
      <c r="K161" s="16">
        <v>2.12</v>
      </c>
      <c r="L161" s="16">
        <v>41</v>
      </c>
      <c r="M161" s="17">
        <f t="shared" si="6"/>
        <v>34.6585365853659</v>
      </c>
      <c r="N161" s="17">
        <f t="shared" si="7"/>
        <v>1.17244224422442</v>
      </c>
      <c r="O161" s="16">
        <f t="shared" si="8"/>
        <v>6.70283018867925</v>
      </c>
      <c r="P161" s="16">
        <v>16.1</v>
      </c>
      <c r="Q161" s="16">
        <v>1.95</v>
      </c>
      <c r="R161" s="16">
        <v>1.03</v>
      </c>
      <c r="S161" s="16">
        <v>3.86</v>
      </c>
      <c r="T161" s="16">
        <v>140</v>
      </c>
      <c r="U161" s="25">
        <v>36</v>
      </c>
      <c r="V161" s="15">
        <v>0</v>
      </c>
    </row>
    <row r="162" spans="1:22">
      <c r="A162" s="13">
        <v>1310</v>
      </c>
      <c r="B162" s="14" t="s">
        <v>26</v>
      </c>
      <c r="C162" s="15">
        <v>78</v>
      </c>
      <c r="D162" s="15" t="s">
        <v>27</v>
      </c>
      <c r="E162" s="16" t="s">
        <v>24</v>
      </c>
      <c r="F162" s="16" t="s">
        <v>25</v>
      </c>
      <c r="G162" s="16" t="s">
        <v>25</v>
      </c>
      <c r="H162" s="16">
        <v>9.73</v>
      </c>
      <c r="I162" s="16">
        <v>15.58</v>
      </c>
      <c r="J162" s="16">
        <v>7.76</v>
      </c>
      <c r="K162" s="16">
        <v>0.99</v>
      </c>
      <c r="L162" s="16">
        <v>61</v>
      </c>
      <c r="M162" s="17">
        <f t="shared" si="6"/>
        <v>15.9508196721311</v>
      </c>
      <c r="N162" s="17">
        <f t="shared" si="7"/>
        <v>1.25386597938144</v>
      </c>
      <c r="O162" s="16">
        <f t="shared" si="8"/>
        <v>9.82828282828283</v>
      </c>
      <c r="P162" s="16">
        <v>14.7</v>
      </c>
      <c r="Q162" s="16">
        <v>6.21</v>
      </c>
      <c r="R162" s="16">
        <v>2.83</v>
      </c>
      <c r="S162" s="16">
        <v>8.22</v>
      </c>
      <c r="T162" s="16">
        <v>132</v>
      </c>
      <c r="U162" s="25">
        <v>28</v>
      </c>
      <c r="V162" s="15">
        <v>0</v>
      </c>
    </row>
    <row r="163" spans="1:22">
      <c r="A163" s="13">
        <v>1314</v>
      </c>
      <c r="B163" s="14" t="s">
        <v>26</v>
      </c>
      <c r="C163" s="15">
        <v>68</v>
      </c>
      <c r="D163" s="15" t="s">
        <v>23</v>
      </c>
      <c r="E163" s="16" t="s">
        <v>24</v>
      </c>
      <c r="F163" s="16" t="s">
        <v>25</v>
      </c>
      <c r="G163" s="16" t="s">
        <v>25</v>
      </c>
      <c r="H163" s="16">
        <v>4.83</v>
      </c>
      <c r="I163" s="16">
        <v>31.94</v>
      </c>
      <c r="J163" s="16">
        <v>5.4</v>
      </c>
      <c r="K163" s="16">
        <v>3.17</v>
      </c>
      <c r="L163" s="16">
        <v>91</v>
      </c>
      <c r="M163" s="17">
        <f t="shared" si="6"/>
        <v>5.30769230769231</v>
      </c>
      <c r="N163" s="17">
        <f t="shared" si="7"/>
        <v>0.894444444444444</v>
      </c>
      <c r="O163" s="16">
        <f t="shared" si="8"/>
        <v>1.52365930599369</v>
      </c>
      <c r="P163" s="16">
        <v>13.6</v>
      </c>
      <c r="Q163" s="16">
        <v>3.06</v>
      </c>
      <c r="R163" s="16">
        <v>13.11</v>
      </c>
      <c r="S163" s="16">
        <v>37.56</v>
      </c>
      <c r="T163" s="16">
        <v>132</v>
      </c>
      <c r="U163" s="25">
        <v>29</v>
      </c>
      <c r="V163" s="15">
        <v>0</v>
      </c>
    </row>
    <row r="164" spans="1:22">
      <c r="A164" s="13">
        <v>1315</v>
      </c>
      <c r="B164" s="14" t="s">
        <v>26</v>
      </c>
      <c r="C164" s="15">
        <v>66</v>
      </c>
      <c r="D164" s="15" t="s">
        <v>23</v>
      </c>
      <c r="E164" s="16" t="s">
        <v>24</v>
      </c>
      <c r="F164" s="16" t="s">
        <v>25</v>
      </c>
      <c r="G164" s="16" t="s">
        <v>25</v>
      </c>
      <c r="H164" s="16">
        <v>5.56</v>
      </c>
      <c r="I164" s="16">
        <v>28.27</v>
      </c>
      <c r="J164" s="16">
        <v>9.5</v>
      </c>
      <c r="K164" s="16">
        <v>9.55</v>
      </c>
      <c r="M164" s="17" t="e">
        <f t="shared" si="6"/>
        <v>#DIV/0!</v>
      </c>
      <c r="N164" s="17">
        <f t="shared" si="7"/>
        <v>0.585263157894737</v>
      </c>
      <c r="O164" s="16">
        <f t="shared" si="8"/>
        <v>0.582198952879581</v>
      </c>
      <c r="P164" s="16">
        <v>13</v>
      </c>
      <c r="Q164" s="16">
        <v>2.12</v>
      </c>
      <c r="R164" s="16">
        <v>1.58</v>
      </c>
      <c r="T164" s="16">
        <v>102</v>
      </c>
      <c r="U164" s="25">
        <v>22</v>
      </c>
      <c r="V164" s="15">
        <v>0</v>
      </c>
    </row>
    <row r="165" spans="1:22">
      <c r="A165" s="13">
        <v>1317</v>
      </c>
      <c r="B165" s="14" t="s">
        <v>22</v>
      </c>
      <c r="C165" s="15">
        <v>57</v>
      </c>
      <c r="D165" s="15" t="s">
        <v>23</v>
      </c>
      <c r="E165" s="16" t="s">
        <v>24</v>
      </c>
      <c r="F165" s="16" t="s">
        <v>25</v>
      </c>
      <c r="G165" s="16" t="s">
        <v>25</v>
      </c>
      <c r="H165" s="16">
        <v>15.74</v>
      </c>
      <c r="I165" s="16">
        <v>20.03</v>
      </c>
      <c r="J165" s="16">
        <v>4.55</v>
      </c>
      <c r="K165" s="16">
        <v>2.04</v>
      </c>
      <c r="M165" s="17" t="e">
        <f t="shared" si="6"/>
        <v>#DIV/0!</v>
      </c>
      <c r="N165" s="17">
        <f t="shared" si="7"/>
        <v>3.45934065934066</v>
      </c>
      <c r="O165" s="16">
        <f t="shared" si="8"/>
        <v>7.7156862745098</v>
      </c>
      <c r="P165" s="16">
        <v>10.6</v>
      </c>
      <c r="Q165" s="16">
        <v>4.72</v>
      </c>
      <c r="R165" s="16">
        <v>1.78</v>
      </c>
      <c r="T165" s="16">
        <v>127</v>
      </c>
      <c r="U165" s="25">
        <v>34</v>
      </c>
      <c r="V165" s="15">
        <v>0</v>
      </c>
    </row>
    <row r="166" spans="1:22">
      <c r="A166" s="13">
        <v>1319</v>
      </c>
      <c r="B166" s="14" t="s">
        <v>22</v>
      </c>
      <c r="C166" s="15">
        <v>64</v>
      </c>
      <c r="D166" s="15" t="s">
        <v>23</v>
      </c>
      <c r="E166" s="16" t="s">
        <v>24</v>
      </c>
      <c r="F166" s="16" t="s">
        <v>25</v>
      </c>
      <c r="G166" s="16" t="s">
        <v>25</v>
      </c>
      <c r="H166" s="16">
        <v>1.93</v>
      </c>
      <c r="I166" s="16">
        <v>6.79</v>
      </c>
      <c r="J166" s="16">
        <v>5.24</v>
      </c>
      <c r="K166" s="16">
        <v>2.14</v>
      </c>
      <c r="M166" s="17" t="e">
        <f t="shared" si="6"/>
        <v>#DIV/0!</v>
      </c>
      <c r="N166" s="17">
        <f t="shared" si="7"/>
        <v>0.368320610687023</v>
      </c>
      <c r="O166" s="16">
        <f t="shared" si="8"/>
        <v>0.901869158878505</v>
      </c>
      <c r="P166" s="16">
        <v>11.7</v>
      </c>
      <c r="Q166" s="16">
        <v>6.34</v>
      </c>
      <c r="R166" s="16">
        <v>0.34</v>
      </c>
      <c r="T166" s="16">
        <v>198</v>
      </c>
      <c r="U166" s="25">
        <v>26</v>
      </c>
      <c r="V166" s="15">
        <v>0</v>
      </c>
    </row>
    <row r="167" spans="1:22">
      <c r="A167" s="13">
        <v>1320</v>
      </c>
      <c r="B167" s="14" t="s">
        <v>22</v>
      </c>
      <c r="C167" s="15">
        <v>75</v>
      </c>
      <c r="D167" s="15" t="s">
        <v>23</v>
      </c>
      <c r="E167" s="16" t="s">
        <v>24</v>
      </c>
      <c r="F167" s="16" t="s">
        <v>31</v>
      </c>
      <c r="G167" s="16" t="s">
        <v>33</v>
      </c>
      <c r="H167" s="16">
        <v>34.44</v>
      </c>
      <c r="I167" s="16">
        <v>52.52</v>
      </c>
      <c r="J167" s="16">
        <v>23.55</v>
      </c>
      <c r="K167" s="16">
        <v>6.42</v>
      </c>
      <c r="M167" s="17" t="e">
        <f t="shared" si="6"/>
        <v>#DIV/0!</v>
      </c>
      <c r="N167" s="17">
        <f t="shared" si="7"/>
        <v>1.4624203821656</v>
      </c>
      <c r="O167" s="16">
        <f t="shared" si="8"/>
        <v>5.36448598130841</v>
      </c>
      <c r="P167" s="16">
        <v>11.1</v>
      </c>
      <c r="Q167" s="16">
        <v>2.25</v>
      </c>
      <c r="R167" s="16">
        <v>4.28</v>
      </c>
      <c r="T167" s="16">
        <v>54</v>
      </c>
      <c r="U167" s="25">
        <v>10</v>
      </c>
      <c r="V167" s="15">
        <v>1</v>
      </c>
    </row>
    <row r="168" spans="1:22">
      <c r="A168" s="13">
        <v>1322</v>
      </c>
      <c r="B168" s="14" t="s">
        <v>22</v>
      </c>
      <c r="C168" s="15">
        <v>57</v>
      </c>
      <c r="D168" s="15" t="s">
        <v>30</v>
      </c>
      <c r="E168" s="16" t="s">
        <v>24</v>
      </c>
      <c r="F168" s="16" t="s">
        <v>25</v>
      </c>
      <c r="G168" s="16" t="s">
        <v>25</v>
      </c>
      <c r="H168" s="16">
        <v>10.41</v>
      </c>
      <c r="I168" s="16">
        <v>16.99</v>
      </c>
      <c r="J168" s="16">
        <v>9.71</v>
      </c>
      <c r="K168" s="16">
        <v>8.84</v>
      </c>
      <c r="M168" s="17" t="e">
        <f t="shared" si="6"/>
        <v>#DIV/0!</v>
      </c>
      <c r="N168" s="17">
        <f t="shared" si="7"/>
        <v>1.07209062821833</v>
      </c>
      <c r="O168" s="16">
        <f t="shared" si="8"/>
        <v>1.17760180995475</v>
      </c>
      <c r="P168" s="16">
        <v>11.4</v>
      </c>
      <c r="Q168" s="16">
        <v>3.8</v>
      </c>
      <c r="R168" s="16">
        <v>2.54</v>
      </c>
      <c r="T168" s="16">
        <v>159</v>
      </c>
      <c r="U168" s="25">
        <v>11</v>
      </c>
      <c r="V168" s="15">
        <v>0</v>
      </c>
    </row>
    <row r="169" spans="1:22">
      <c r="A169" s="13">
        <v>1323</v>
      </c>
      <c r="B169" s="14" t="s">
        <v>26</v>
      </c>
      <c r="C169" s="15">
        <v>70</v>
      </c>
      <c r="D169" s="15" t="s">
        <v>27</v>
      </c>
      <c r="E169" s="16" t="s">
        <v>24</v>
      </c>
      <c r="F169" s="16" t="s">
        <v>25</v>
      </c>
      <c r="G169" s="16" t="s">
        <v>25</v>
      </c>
      <c r="H169" s="16">
        <v>5.87</v>
      </c>
      <c r="I169" s="16">
        <v>17.87</v>
      </c>
      <c r="J169" s="16">
        <v>7.61</v>
      </c>
      <c r="K169" s="16">
        <v>1.51</v>
      </c>
      <c r="M169" s="17" t="e">
        <f t="shared" si="6"/>
        <v>#DIV/0!</v>
      </c>
      <c r="N169" s="17">
        <f t="shared" si="7"/>
        <v>0.771353482260184</v>
      </c>
      <c r="O169" s="16">
        <f t="shared" si="8"/>
        <v>3.88741721854305</v>
      </c>
      <c r="P169" s="16">
        <v>12.8</v>
      </c>
      <c r="Q169" s="16">
        <v>3.85</v>
      </c>
      <c r="R169" s="16">
        <v>3</v>
      </c>
      <c r="T169" s="16">
        <v>443</v>
      </c>
      <c r="U169" s="25">
        <v>38</v>
      </c>
      <c r="V169" s="15">
        <v>0</v>
      </c>
    </row>
    <row r="170" spans="1:22">
      <c r="A170" s="13">
        <v>1328</v>
      </c>
      <c r="B170" s="14" t="s">
        <v>26</v>
      </c>
      <c r="C170" s="15">
        <v>45</v>
      </c>
      <c r="D170" s="15" t="s">
        <v>27</v>
      </c>
      <c r="E170" s="16" t="s">
        <v>29</v>
      </c>
      <c r="F170" s="16" t="s">
        <v>29</v>
      </c>
      <c r="G170" s="16" t="s">
        <v>29</v>
      </c>
      <c r="H170" s="16">
        <v>17.77</v>
      </c>
      <c r="I170" s="16">
        <v>26.27</v>
      </c>
      <c r="J170" s="16">
        <v>5.44</v>
      </c>
      <c r="K170" s="16">
        <v>3.02</v>
      </c>
      <c r="L170" s="16">
        <v>69</v>
      </c>
      <c r="M170" s="17">
        <f t="shared" si="6"/>
        <v>25.7536231884058</v>
      </c>
      <c r="N170" s="17">
        <f t="shared" si="7"/>
        <v>3.26654411764706</v>
      </c>
      <c r="O170" s="16">
        <f t="shared" si="8"/>
        <v>5.8841059602649</v>
      </c>
      <c r="P170" s="16">
        <v>20.1</v>
      </c>
      <c r="Q170" s="16">
        <v>4.62</v>
      </c>
      <c r="R170" s="16">
        <v>20</v>
      </c>
      <c r="S170" s="16">
        <v>150</v>
      </c>
      <c r="T170" s="16">
        <v>91</v>
      </c>
      <c r="U170" s="25">
        <v>34</v>
      </c>
      <c r="V170" s="15">
        <v>0</v>
      </c>
    </row>
    <row r="171" spans="1:22">
      <c r="A171" s="13">
        <v>1330</v>
      </c>
      <c r="B171" s="14" t="s">
        <v>26</v>
      </c>
      <c r="C171" s="15">
        <v>69</v>
      </c>
      <c r="D171" s="15" t="s">
        <v>23</v>
      </c>
      <c r="E171" s="16" t="s">
        <v>29</v>
      </c>
      <c r="F171" s="16" t="s">
        <v>29</v>
      </c>
      <c r="G171" s="16" t="s">
        <v>29</v>
      </c>
      <c r="H171" s="16">
        <v>37.28</v>
      </c>
      <c r="I171" s="16">
        <v>33.94</v>
      </c>
      <c r="J171" s="16">
        <v>18.05</v>
      </c>
      <c r="K171" s="16">
        <v>0.59</v>
      </c>
      <c r="M171" s="17" t="e">
        <f t="shared" si="6"/>
        <v>#DIV/0!</v>
      </c>
      <c r="N171" s="17">
        <f t="shared" si="7"/>
        <v>2.06537396121884</v>
      </c>
      <c r="O171" s="16">
        <f t="shared" si="8"/>
        <v>63.1864406779661</v>
      </c>
      <c r="P171" s="16">
        <v>18.2</v>
      </c>
      <c r="Q171" s="16">
        <v>2.21</v>
      </c>
      <c r="R171" s="16">
        <v>2.7</v>
      </c>
      <c r="T171" s="16">
        <v>36</v>
      </c>
      <c r="U171" s="25">
        <v>4</v>
      </c>
      <c r="V171" s="15">
        <v>1</v>
      </c>
    </row>
    <row r="172" spans="1:22">
      <c r="A172" s="13">
        <v>1331</v>
      </c>
      <c r="B172" s="14" t="s">
        <v>26</v>
      </c>
      <c r="C172" s="15">
        <v>69</v>
      </c>
      <c r="D172" s="15" t="s">
        <v>23</v>
      </c>
      <c r="E172" s="16" t="s">
        <v>24</v>
      </c>
      <c r="F172" s="16" t="s">
        <v>25</v>
      </c>
      <c r="G172" s="16" t="s">
        <v>25</v>
      </c>
      <c r="H172" s="16">
        <v>13.42</v>
      </c>
      <c r="I172" s="16">
        <v>26.01</v>
      </c>
      <c r="J172" s="16">
        <v>21.1</v>
      </c>
      <c r="K172" s="16">
        <v>2.89</v>
      </c>
      <c r="L172" s="16">
        <v>70</v>
      </c>
      <c r="M172" s="17">
        <f t="shared" si="6"/>
        <v>19.1714285714286</v>
      </c>
      <c r="N172" s="17">
        <f t="shared" si="7"/>
        <v>0.636018957345971</v>
      </c>
      <c r="O172" s="16">
        <f t="shared" si="8"/>
        <v>4.64359861591695</v>
      </c>
      <c r="P172" s="16">
        <v>16.6</v>
      </c>
      <c r="Q172" s="16">
        <v>6.05</v>
      </c>
      <c r="R172" s="16">
        <v>3.37</v>
      </c>
      <c r="S172" s="16">
        <v>13.38</v>
      </c>
      <c r="T172" s="16">
        <v>65</v>
      </c>
      <c r="U172" s="25">
        <v>20</v>
      </c>
      <c r="V172" s="15">
        <v>0</v>
      </c>
    </row>
    <row r="173" spans="1:22">
      <c r="A173" s="13">
        <v>1333</v>
      </c>
      <c r="B173" s="14" t="s">
        <v>26</v>
      </c>
      <c r="C173" s="15">
        <v>64</v>
      </c>
      <c r="D173" s="15" t="s">
        <v>23</v>
      </c>
      <c r="E173" s="16" t="s">
        <v>24</v>
      </c>
      <c r="F173" s="16" t="s">
        <v>25</v>
      </c>
      <c r="G173" s="16" t="s">
        <v>25</v>
      </c>
      <c r="H173" s="16">
        <v>3.49</v>
      </c>
      <c r="I173" s="16">
        <v>24.26</v>
      </c>
      <c r="J173" s="16">
        <v>16.89</v>
      </c>
      <c r="K173" s="16">
        <v>1.22</v>
      </c>
      <c r="M173" s="17" t="e">
        <f t="shared" si="6"/>
        <v>#DIV/0!</v>
      </c>
      <c r="N173" s="17">
        <f t="shared" si="7"/>
        <v>0.206631142687981</v>
      </c>
      <c r="O173" s="16">
        <f t="shared" si="8"/>
        <v>2.86065573770492</v>
      </c>
      <c r="P173" s="16">
        <v>12.8</v>
      </c>
      <c r="Q173" s="16">
        <v>6</v>
      </c>
      <c r="R173" s="16">
        <v>2.15</v>
      </c>
      <c r="T173" s="16">
        <v>190</v>
      </c>
      <c r="U173" s="25">
        <v>17</v>
      </c>
      <c r="V173" s="15">
        <v>0</v>
      </c>
    </row>
    <row r="174" spans="1:22">
      <c r="A174" s="13">
        <v>1335</v>
      </c>
      <c r="B174" s="14" t="s">
        <v>22</v>
      </c>
      <c r="C174" s="15">
        <v>38</v>
      </c>
      <c r="D174" s="15" t="s">
        <v>23</v>
      </c>
      <c r="E174" s="16" t="s">
        <v>24</v>
      </c>
      <c r="F174" s="16" t="s">
        <v>25</v>
      </c>
      <c r="G174" s="16" t="s">
        <v>25</v>
      </c>
      <c r="H174" s="16">
        <v>211.56</v>
      </c>
      <c r="I174" s="16">
        <v>13.34</v>
      </c>
      <c r="J174" s="16">
        <v>9.1</v>
      </c>
      <c r="K174" s="16">
        <v>0.54</v>
      </c>
      <c r="M174" s="17" t="e">
        <f t="shared" si="6"/>
        <v>#DIV/0!</v>
      </c>
      <c r="N174" s="17">
        <f t="shared" si="7"/>
        <v>23.2483516483517</v>
      </c>
      <c r="O174" s="16">
        <f t="shared" si="8"/>
        <v>391.777777777778</v>
      </c>
      <c r="P174" s="16">
        <v>18.4</v>
      </c>
      <c r="Q174" s="16">
        <v>2.91</v>
      </c>
      <c r="R174" s="16">
        <v>0.56</v>
      </c>
      <c r="T174" s="16">
        <v>333</v>
      </c>
      <c r="U174" s="25">
        <v>41</v>
      </c>
      <c r="V174" s="15">
        <v>0</v>
      </c>
    </row>
    <row r="175" spans="1:22">
      <c r="A175" s="13">
        <v>1338</v>
      </c>
      <c r="B175" s="14" t="s">
        <v>26</v>
      </c>
      <c r="C175" s="15">
        <v>90</v>
      </c>
      <c r="D175" s="15" t="s">
        <v>23</v>
      </c>
      <c r="E175" s="16" t="s">
        <v>24</v>
      </c>
      <c r="F175" s="16" t="s">
        <v>25</v>
      </c>
      <c r="G175" s="16" t="s">
        <v>25</v>
      </c>
      <c r="H175" s="16">
        <v>2.02</v>
      </c>
      <c r="I175" s="16">
        <v>12.3</v>
      </c>
      <c r="J175" s="16">
        <v>23.38</v>
      </c>
      <c r="K175" s="16">
        <v>0.42</v>
      </c>
      <c r="M175" s="17" t="e">
        <f t="shared" si="6"/>
        <v>#DIV/0!</v>
      </c>
      <c r="N175" s="17">
        <f t="shared" si="7"/>
        <v>0.086398631308811</v>
      </c>
      <c r="O175" s="16">
        <f t="shared" si="8"/>
        <v>4.80952380952381</v>
      </c>
      <c r="P175" s="16">
        <v>15.1</v>
      </c>
      <c r="Q175" s="16">
        <v>3.12</v>
      </c>
      <c r="R175" s="16">
        <v>0.34</v>
      </c>
      <c r="T175" s="16">
        <v>152</v>
      </c>
      <c r="U175" s="25">
        <v>22</v>
      </c>
      <c r="V175" s="15">
        <v>0</v>
      </c>
    </row>
    <row r="176" spans="1:22">
      <c r="A176" s="13">
        <v>1341</v>
      </c>
      <c r="B176" s="14" t="s">
        <v>26</v>
      </c>
      <c r="C176" s="15">
        <v>46</v>
      </c>
      <c r="D176" s="15" t="s">
        <v>23</v>
      </c>
      <c r="E176" s="16" t="s">
        <v>24</v>
      </c>
      <c r="F176" s="16" t="s">
        <v>25</v>
      </c>
      <c r="G176" s="16" t="s">
        <v>25</v>
      </c>
      <c r="H176" s="16">
        <v>120</v>
      </c>
      <c r="I176" s="16">
        <v>15.41</v>
      </c>
      <c r="J176" s="16">
        <v>11.37</v>
      </c>
      <c r="K176" s="16">
        <v>13.71</v>
      </c>
      <c r="M176" s="17" t="e">
        <f t="shared" si="6"/>
        <v>#DIV/0!</v>
      </c>
      <c r="N176" s="17">
        <f t="shared" si="7"/>
        <v>10.5540897097625</v>
      </c>
      <c r="O176" s="16">
        <f t="shared" si="8"/>
        <v>8.7527352297593</v>
      </c>
      <c r="P176" s="16">
        <v>12.7</v>
      </c>
      <c r="Q176" s="16">
        <v>1.66</v>
      </c>
      <c r="R176" s="16">
        <v>23.65</v>
      </c>
      <c r="T176" s="16">
        <v>205</v>
      </c>
      <c r="U176" s="25">
        <v>26</v>
      </c>
      <c r="V176" s="15">
        <v>0</v>
      </c>
    </row>
    <row r="177" spans="1:22">
      <c r="A177" s="13">
        <v>1342</v>
      </c>
      <c r="B177" s="14" t="s">
        <v>26</v>
      </c>
      <c r="C177" s="15">
        <v>68</v>
      </c>
      <c r="D177" s="15" t="s">
        <v>23</v>
      </c>
      <c r="E177" s="16" t="s">
        <v>24</v>
      </c>
      <c r="F177" s="16" t="s">
        <v>25</v>
      </c>
      <c r="G177" s="16" t="s">
        <v>25</v>
      </c>
      <c r="H177" s="16">
        <v>68.3</v>
      </c>
      <c r="I177" s="16">
        <v>35.77</v>
      </c>
      <c r="J177" s="16">
        <v>8.04</v>
      </c>
      <c r="K177" s="16">
        <v>13.73</v>
      </c>
      <c r="M177" s="17" t="e">
        <f t="shared" si="6"/>
        <v>#DIV/0!</v>
      </c>
      <c r="N177" s="17">
        <f t="shared" si="7"/>
        <v>8.49502487562189</v>
      </c>
      <c r="O177" s="16">
        <f t="shared" si="8"/>
        <v>4.97450837581937</v>
      </c>
      <c r="P177" s="16">
        <v>11.1</v>
      </c>
      <c r="Q177" s="16">
        <v>2.02</v>
      </c>
      <c r="R177" s="16">
        <v>13.1</v>
      </c>
      <c r="T177" s="16">
        <v>137</v>
      </c>
      <c r="U177" s="25">
        <v>28</v>
      </c>
      <c r="V177" s="15">
        <v>0</v>
      </c>
    </row>
    <row r="178" spans="1:22">
      <c r="A178" s="13">
        <v>1344</v>
      </c>
      <c r="B178" s="14" t="s">
        <v>22</v>
      </c>
      <c r="C178" s="15">
        <v>53</v>
      </c>
      <c r="D178" s="15" t="s">
        <v>30</v>
      </c>
      <c r="E178" s="16" t="s">
        <v>29</v>
      </c>
      <c r="F178" s="16" t="s">
        <v>29</v>
      </c>
      <c r="G178" s="16" t="s">
        <v>29</v>
      </c>
      <c r="H178" s="16">
        <v>64.6</v>
      </c>
      <c r="I178" s="16">
        <v>28.62</v>
      </c>
      <c r="J178" s="16">
        <v>23.39</v>
      </c>
      <c r="K178" s="16">
        <v>1.07</v>
      </c>
      <c r="L178" s="16">
        <v>24</v>
      </c>
      <c r="M178" s="17">
        <f t="shared" si="6"/>
        <v>269.166666666667</v>
      </c>
      <c r="N178" s="17">
        <f t="shared" si="7"/>
        <v>2.76186404446345</v>
      </c>
      <c r="O178" s="16">
        <f t="shared" si="8"/>
        <v>60.3738317757009</v>
      </c>
      <c r="P178" s="16">
        <v>21.2</v>
      </c>
      <c r="Q178" s="16">
        <v>2.46</v>
      </c>
      <c r="R178" s="16">
        <v>20</v>
      </c>
      <c r="S178" s="16">
        <v>150</v>
      </c>
      <c r="T178" s="16">
        <v>88</v>
      </c>
      <c r="U178" s="25">
        <v>33</v>
      </c>
      <c r="V178" s="15">
        <v>0</v>
      </c>
    </row>
    <row r="179" spans="1:22">
      <c r="A179" s="13">
        <v>1345</v>
      </c>
      <c r="B179" s="14" t="s">
        <v>26</v>
      </c>
      <c r="C179" s="15">
        <v>50</v>
      </c>
      <c r="D179" s="22" t="s">
        <v>28</v>
      </c>
      <c r="E179" s="16" t="s">
        <v>29</v>
      </c>
      <c r="F179" s="16" t="s">
        <v>29</v>
      </c>
      <c r="G179" s="16" t="s">
        <v>29</v>
      </c>
      <c r="H179" s="16">
        <v>47.27</v>
      </c>
      <c r="I179" s="16">
        <v>67.32</v>
      </c>
      <c r="J179" s="16">
        <v>20.66</v>
      </c>
      <c r="K179" s="16">
        <v>5.47</v>
      </c>
      <c r="L179" s="16">
        <v>44</v>
      </c>
      <c r="M179" s="17">
        <f t="shared" si="6"/>
        <v>107.431818181818</v>
      </c>
      <c r="N179" s="17">
        <f t="shared" si="7"/>
        <v>2.28799612778316</v>
      </c>
      <c r="O179" s="16">
        <f t="shared" si="8"/>
        <v>8.64168190127971</v>
      </c>
      <c r="P179" s="16">
        <v>16</v>
      </c>
      <c r="Q179" s="16">
        <v>2.49</v>
      </c>
      <c r="R179" s="16">
        <v>20</v>
      </c>
      <c r="S179" s="16">
        <v>83.16</v>
      </c>
      <c r="T179" s="16">
        <v>22</v>
      </c>
      <c r="U179" s="25">
        <v>25</v>
      </c>
      <c r="V179" s="15">
        <v>0</v>
      </c>
    </row>
    <row r="180" spans="1:22">
      <c r="A180" s="13">
        <v>1347</v>
      </c>
      <c r="B180" s="14" t="s">
        <v>26</v>
      </c>
      <c r="C180" s="15">
        <v>31</v>
      </c>
      <c r="D180" s="15" t="s">
        <v>23</v>
      </c>
      <c r="E180" s="16" t="s">
        <v>29</v>
      </c>
      <c r="F180" s="16" t="s">
        <v>29</v>
      </c>
      <c r="G180" s="16" t="s">
        <v>29</v>
      </c>
      <c r="H180" s="16">
        <v>11.95</v>
      </c>
      <c r="I180" s="16">
        <v>13.03</v>
      </c>
      <c r="J180" s="16">
        <v>46.57</v>
      </c>
      <c r="K180" s="16">
        <v>0.55</v>
      </c>
      <c r="L180" s="16">
        <v>49</v>
      </c>
      <c r="M180" s="17">
        <f t="shared" si="6"/>
        <v>24.3877551020408</v>
      </c>
      <c r="N180" s="17">
        <f t="shared" si="7"/>
        <v>0.256602963281082</v>
      </c>
      <c r="O180" s="16">
        <f t="shared" si="8"/>
        <v>21.7272727272727</v>
      </c>
      <c r="P180" s="16">
        <v>18.8</v>
      </c>
      <c r="Q180" s="16">
        <v>1.78</v>
      </c>
      <c r="R180" s="16">
        <v>2.2</v>
      </c>
      <c r="S180" s="16">
        <v>8.8</v>
      </c>
      <c r="T180" s="16">
        <v>32</v>
      </c>
      <c r="U180" s="25">
        <v>63</v>
      </c>
      <c r="V180" s="15">
        <v>0</v>
      </c>
    </row>
    <row r="181" spans="1:22">
      <c r="A181" s="13">
        <v>1348</v>
      </c>
      <c r="B181" s="14" t="s">
        <v>26</v>
      </c>
      <c r="C181" s="15">
        <v>83</v>
      </c>
      <c r="D181" s="15" t="s">
        <v>23</v>
      </c>
      <c r="E181" s="16" t="s">
        <v>24</v>
      </c>
      <c r="F181" s="16" t="s">
        <v>25</v>
      </c>
      <c r="G181" s="16" t="s">
        <v>25</v>
      </c>
      <c r="H181" s="16">
        <v>1.84</v>
      </c>
      <c r="I181" s="16">
        <v>33.2</v>
      </c>
      <c r="J181" s="16">
        <v>18.31</v>
      </c>
      <c r="K181" s="16">
        <v>1.02</v>
      </c>
      <c r="M181" s="17" t="e">
        <f t="shared" si="6"/>
        <v>#DIV/0!</v>
      </c>
      <c r="N181" s="17">
        <f t="shared" si="7"/>
        <v>0.100491534680502</v>
      </c>
      <c r="O181" s="16">
        <f t="shared" si="8"/>
        <v>1.80392156862745</v>
      </c>
      <c r="U181" s="25">
        <v>15</v>
      </c>
      <c r="V181" s="15">
        <v>1</v>
      </c>
    </row>
    <row r="182" spans="1:22">
      <c r="A182" s="13">
        <v>1350</v>
      </c>
      <c r="B182" s="14" t="s">
        <v>26</v>
      </c>
      <c r="C182" s="15">
        <v>58</v>
      </c>
      <c r="D182" s="15" t="s">
        <v>23</v>
      </c>
      <c r="E182" s="16" t="s">
        <v>24</v>
      </c>
      <c r="F182" s="16" t="s">
        <v>25</v>
      </c>
      <c r="G182" s="16" t="s">
        <v>25</v>
      </c>
      <c r="H182" s="16">
        <v>11.87</v>
      </c>
      <c r="I182" s="16">
        <v>9.98</v>
      </c>
      <c r="J182" s="16">
        <v>9.2</v>
      </c>
      <c r="K182" s="16">
        <v>1.07</v>
      </c>
      <c r="M182" s="17" t="e">
        <f t="shared" si="6"/>
        <v>#DIV/0!</v>
      </c>
      <c r="N182" s="17">
        <f t="shared" si="7"/>
        <v>1.29021739130435</v>
      </c>
      <c r="O182" s="16">
        <f t="shared" si="8"/>
        <v>11.0934579439252</v>
      </c>
      <c r="P182" s="16">
        <v>15.9</v>
      </c>
      <c r="Q182" s="16">
        <v>3.94</v>
      </c>
      <c r="T182" s="16">
        <v>81</v>
      </c>
      <c r="U182" s="25">
        <v>22</v>
      </c>
      <c r="V182" s="15">
        <v>0</v>
      </c>
    </row>
    <row r="183" spans="1:22">
      <c r="A183" s="13">
        <v>1351</v>
      </c>
      <c r="B183" s="14" t="s">
        <v>22</v>
      </c>
      <c r="C183" s="15">
        <v>36</v>
      </c>
      <c r="D183" s="15" t="s">
        <v>34</v>
      </c>
      <c r="E183" s="16" t="s">
        <v>24</v>
      </c>
      <c r="F183" s="16" t="s">
        <v>31</v>
      </c>
      <c r="G183" s="16" t="s">
        <v>32</v>
      </c>
      <c r="H183" s="16">
        <v>27.4</v>
      </c>
      <c r="I183" s="16">
        <v>41.87</v>
      </c>
      <c r="J183" s="16">
        <v>20.49</v>
      </c>
      <c r="K183" s="16">
        <v>7.26</v>
      </c>
      <c r="L183" s="16">
        <v>90</v>
      </c>
      <c r="M183" s="17">
        <f t="shared" si="6"/>
        <v>30.4444444444444</v>
      </c>
      <c r="N183" s="17">
        <f t="shared" si="7"/>
        <v>1.33723767691557</v>
      </c>
      <c r="O183" s="16">
        <f t="shared" si="8"/>
        <v>3.77410468319559</v>
      </c>
      <c r="P183" s="16">
        <v>13.2</v>
      </c>
      <c r="Q183" s="16">
        <v>1.82</v>
      </c>
      <c r="R183" s="16">
        <v>16.87</v>
      </c>
      <c r="S183" s="16">
        <v>75.35</v>
      </c>
      <c r="T183" s="16">
        <v>50</v>
      </c>
      <c r="U183" s="25">
        <v>10</v>
      </c>
      <c r="V183" s="15">
        <v>1</v>
      </c>
    </row>
    <row r="184" spans="1:22">
      <c r="A184" s="13">
        <v>1352</v>
      </c>
      <c r="B184" s="14" t="s">
        <v>26</v>
      </c>
      <c r="C184" s="15">
        <v>80</v>
      </c>
      <c r="D184" s="15" t="s">
        <v>23</v>
      </c>
      <c r="E184" s="16" t="s">
        <v>24</v>
      </c>
      <c r="F184" s="16" t="s">
        <v>25</v>
      </c>
      <c r="G184" s="16" t="s">
        <v>25</v>
      </c>
      <c r="H184" s="16">
        <v>9.86</v>
      </c>
      <c r="I184" s="16">
        <v>13.12</v>
      </c>
      <c r="J184" s="16">
        <v>7.46</v>
      </c>
      <c r="K184" s="16">
        <v>1.07</v>
      </c>
      <c r="L184" s="16">
        <v>50</v>
      </c>
      <c r="M184" s="17">
        <f t="shared" si="6"/>
        <v>19.72</v>
      </c>
      <c r="N184" s="17">
        <f t="shared" si="7"/>
        <v>1.32171581769437</v>
      </c>
      <c r="O184" s="16">
        <f t="shared" si="8"/>
        <v>9.21495327102804</v>
      </c>
      <c r="P184" s="16">
        <v>14.9</v>
      </c>
      <c r="Q184" s="16">
        <v>3.61</v>
      </c>
      <c r="R184" s="16">
        <v>7.4</v>
      </c>
      <c r="S184" s="16">
        <v>34.53</v>
      </c>
      <c r="T184" s="16">
        <v>162</v>
      </c>
      <c r="U184" s="25">
        <v>44</v>
      </c>
      <c r="V184" s="15">
        <v>0</v>
      </c>
    </row>
    <row r="185" spans="1:22">
      <c r="A185" s="13">
        <v>1353</v>
      </c>
      <c r="B185" s="14" t="s">
        <v>26</v>
      </c>
      <c r="C185" s="15">
        <v>80</v>
      </c>
      <c r="D185" s="15" t="s">
        <v>23</v>
      </c>
      <c r="E185" s="16" t="s">
        <v>24</v>
      </c>
      <c r="F185" s="16" t="s">
        <v>25</v>
      </c>
      <c r="G185" s="16" t="s">
        <v>25</v>
      </c>
      <c r="H185" s="16">
        <v>6.79</v>
      </c>
      <c r="I185" s="16">
        <v>23.07</v>
      </c>
      <c r="J185" s="16">
        <v>10.85</v>
      </c>
      <c r="K185" s="16">
        <v>1.33</v>
      </c>
      <c r="M185" s="17" t="e">
        <f t="shared" si="6"/>
        <v>#DIV/0!</v>
      </c>
      <c r="N185" s="17">
        <f t="shared" si="7"/>
        <v>0.625806451612903</v>
      </c>
      <c r="O185" s="16">
        <f t="shared" si="8"/>
        <v>5.10526315789474</v>
      </c>
      <c r="P185" s="16">
        <v>14.4</v>
      </c>
      <c r="Q185" s="16">
        <v>2.81</v>
      </c>
      <c r="R185" s="16">
        <v>2.3</v>
      </c>
      <c r="S185" s="16">
        <v>13.7</v>
      </c>
      <c r="T185" s="16">
        <v>149</v>
      </c>
      <c r="U185" s="25">
        <v>44</v>
      </c>
      <c r="V185" s="15">
        <v>0</v>
      </c>
    </row>
    <row r="186" spans="1:22">
      <c r="A186" s="13">
        <v>1354</v>
      </c>
      <c r="B186" s="14" t="s">
        <v>26</v>
      </c>
      <c r="C186" s="15">
        <v>80</v>
      </c>
      <c r="D186" s="15" t="s">
        <v>23</v>
      </c>
      <c r="E186" s="16" t="s">
        <v>24</v>
      </c>
      <c r="F186" s="16" t="s">
        <v>31</v>
      </c>
      <c r="G186" s="16" t="s">
        <v>33</v>
      </c>
      <c r="H186" s="16">
        <v>2.9</v>
      </c>
      <c r="I186" s="16">
        <v>35.02</v>
      </c>
      <c r="J186" s="16">
        <v>26.24</v>
      </c>
      <c r="K186" s="16">
        <v>0.69</v>
      </c>
      <c r="M186" s="17" t="e">
        <f t="shared" si="6"/>
        <v>#DIV/0!</v>
      </c>
      <c r="N186" s="17">
        <f t="shared" si="7"/>
        <v>0.110518292682927</v>
      </c>
      <c r="O186" s="16">
        <f t="shared" si="8"/>
        <v>4.20289855072464</v>
      </c>
      <c r="P186" s="16">
        <v>12.5</v>
      </c>
      <c r="Q186" s="16">
        <v>3.44</v>
      </c>
      <c r="R186" s="16">
        <v>2.06</v>
      </c>
      <c r="S186" s="16">
        <v>9.33</v>
      </c>
      <c r="T186" s="16">
        <v>107</v>
      </c>
      <c r="U186" s="25">
        <v>14</v>
      </c>
      <c r="V186" s="15">
        <v>1</v>
      </c>
    </row>
    <row r="187" spans="1:22">
      <c r="A187" s="13">
        <v>1355</v>
      </c>
      <c r="B187" s="14" t="s">
        <v>26</v>
      </c>
      <c r="C187" s="15">
        <v>59</v>
      </c>
      <c r="D187" s="15" t="s">
        <v>27</v>
      </c>
      <c r="E187" s="16" t="s">
        <v>24</v>
      </c>
      <c r="F187" s="16" t="s">
        <v>25</v>
      </c>
      <c r="G187" s="16" t="s">
        <v>25</v>
      </c>
      <c r="H187" s="16">
        <v>60.53</v>
      </c>
      <c r="I187" s="16">
        <v>5.66</v>
      </c>
      <c r="J187" s="16">
        <v>6.72</v>
      </c>
      <c r="K187" s="16">
        <v>2.68</v>
      </c>
      <c r="L187" s="16">
        <v>90</v>
      </c>
      <c r="M187" s="17">
        <f t="shared" si="6"/>
        <v>67.2555555555556</v>
      </c>
      <c r="N187" s="17">
        <f t="shared" si="7"/>
        <v>9.00744047619048</v>
      </c>
      <c r="O187" s="16">
        <f t="shared" si="8"/>
        <v>22.5858208955224</v>
      </c>
      <c r="P187" s="16">
        <v>15.2</v>
      </c>
      <c r="Q187" s="16">
        <v>5.53</v>
      </c>
      <c r="R187" s="16">
        <v>14.98</v>
      </c>
      <c r="S187" s="16">
        <v>79.97</v>
      </c>
      <c r="T187" s="16">
        <v>396</v>
      </c>
      <c r="U187" s="25">
        <v>13</v>
      </c>
      <c r="V187" s="15">
        <v>1</v>
      </c>
    </row>
    <row r="188" spans="1:22">
      <c r="A188" s="13">
        <v>1356</v>
      </c>
      <c r="B188" s="14" t="s">
        <v>26</v>
      </c>
      <c r="C188" s="15">
        <v>81</v>
      </c>
      <c r="D188" s="15" t="s">
        <v>27</v>
      </c>
      <c r="E188" s="16" t="s">
        <v>24</v>
      </c>
      <c r="F188" s="16" t="s">
        <v>25</v>
      </c>
      <c r="G188" s="16" t="s">
        <v>25</v>
      </c>
      <c r="H188" s="16">
        <v>9.35</v>
      </c>
      <c r="I188" s="16">
        <v>25.08</v>
      </c>
      <c r="J188" s="16">
        <v>27.13</v>
      </c>
      <c r="K188" s="16">
        <v>1.4</v>
      </c>
      <c r="L188" s="16">
        <v>80</v>
      </c>
      <c r="M188" s="17">
        <f t="shared" si="6"/>
        <v>11.6875</v>
      </c>
      <c r="N188" s="17">
        <f t="shared" si="7"/>
        <v>0.344636933284187</v>
      </c>
      <c r="O188" s="16">
        <f t="shared" si="8"/>
        <v>6.67857142857143</v>
      </c>
      <c r="P188" s="16">
        <v>19.1</v>
      </c>
      <c r="Q188" s="16">
        <v>8.53</v>
      </c>
      <c r="R188" s="16">
        <v>5.38</v>
      </c>
      <c r="S188" s="16">
        <v>23.92</v>
      </c>
      <c r="T188" s="16">
        <v>238</v>
      </c>
      <c r="U188" s="25">
        <v>20</v>
      </c>
      <c r="V188" s="15">
        <v>0</v>
      </c>
    </row>
    <row r="189" spans="1:22">
      <c r="A189" s="13">
        <v>1357</v>
      </c>
      <c r="B189" s="14" t="s">
        <v>22</v>
      </c>
      <c r="C189" s="15">
        <v>30</v>
      </c>
      <c r="D189" s="15" t="s">
        <v>34</v>
      </c>
      <c r="E189" s="16" t="s">
        <v>29</v>
      </c>
      <c r="F189" s="16" t="s">
        <v>29</v>
      </c>
      <c r="G189" s="16" t="s">
        <v>29</v>
      </c>
      <c r="H189" s="16">
        <v>15.91</v>
      </c>
      <c r="I189" s="16">
        <v>12.05</v>
      </c>
      <c r="J189" s="16">
        <v>8.73</v>
      </c>
      <c r="K189" s="16">
        <v>1.5</v>
      </c>
      <c r="M189" s="17" t="e">
        <f t="shared" si="6"/>
        <v>#DIV/0!</v>
      </c>
      <c r="N189" s="17">
        <f t="shared" si="7"/>
        <v>1.82245131729668</v>
      </c>
      <c r="O189" s="16">
        <f t="shared" si="8"/>
        <v>10.6066666666667</v>
      </c>
      <c r="P189" s="16">
        <v>10.3</v>
      </c>
      <c r="Q189" s="16">
        <v>3.54</v>
      </c>
      <c r="R189" s="16">
        <v>8.56</v>
      </c>
      <c r="S189" s="16">
        <v>32.64</v>
      </c>
      <c r="T189" s="16">
        <v>32</v>
      </c>
      <c r="U189" s="25">
        <v>14</v>
      </c>
      <c r="V189" s="15">
        <v>1</v>
      </c>
    </row>
    <row r="190" spans="1:22">
      <c r="A190" s="13">
        <v>1358</v>
      </c>
      <c r="B190" s="14" t="s">
        <v>26</v>
      </c>
      <c r="C190" s="15">
        <v>51</v>
      </c>
      <c r="D190" s="22" t="s">
        <v>28</v>
      </c>
      <c r="E190" s="16" t="s">
        <v>24</v>
      </c>
      <c r="F190" s="16" t="s">
        <v>31</v>
      </c>
      <c r="G190" s="16" t="s">
        <v>32</v>
      </c>
      <c r="H190" s="16">
        <v>14.62</v>
      </c>
      <c r="I190" s="16">
        <v>14.87</v>
      </c>
      <c r="J190" s="16">
        <v>11.89</v>
      </c>
      <c r="K190" s="16">
        <v>2.55</v>
      </c>
      <c r="L190" s="16">
        <v>54</v>
      </c>
      <c r="M190" s="17">
        <f t="shared" si="6"/>
        <v>27.0740740740741</v>
      </c>
      <c r="N190" s="17">
        <f t="shared" si="7"/>
        <v>1.2296047098402</v>
      </c>
      <c r="O190" s="16">
        <f t="shared" si="8"/>
        <v>5.73333333333333</v>
      </c>
      <c r="P190" s="16">
        <v>19.7</v>
      </c>
      <c r="Q190" s="16">
        <v>4.29</v>
      </c>
      <c r="R190" s="16">
        <v>1.79</v>
      </c>
      <c r="S190" s="16">
        <v>6.01</v>
      </c>
      <c r="T190" s="16">
        <v>51</v>
      </c>
      <c r="U190" s="25">
        <v>3</v>
      </c>
      <c r="V190" s="15">
        <v>1</v>
      </c>
    </row>
    <row r="191" spans="1:22">
      <c r="A191" s="13">
        <v>1361</v>
      </c>
      <c r="B191" s="14" t="s">
        <v>26</v>
      </c>
      <c r="C191" s="15">
        <v>33</v>
      </c>
      <c r="D191" s="15" t="s">
        <v>27</v>
      </c>
      <c r="E191" s="16" t="s">
        <v>29</v>
      </c>
      <c r="F191" s="16" t="s">
        <v>29</v>
      </c>
      <c r="G191" s="16" t="s">
        <v>29</v>
      </c>
      <c r="H191" s="16">
        <v>4.65</v>
      </c>
      <c r="I191" s="16">
        <v>18.42</v>
      </c>
      <c r="J191" s="16">
        <v>6.88</v>
      </c>
      <c r="K191" s="16">
        <v>0.66</v>
      </c>
      <c r="L191" s="16">
        <v>30</v>
      </c>
      <c r="M191" s="17">
        <f t="shared" si="6"/>
        <v>15.5</v>
      </c>
      <c r="N191" s="17">
        <f t="shared" si="7"/>
        <v>0.675872093023256</v>
      </c>
      <c r="O191" s="16">
        <f t="shared" si="8"/>
        <v>7.04545454545455</v>
      </c>
      <c r="P191" s="16">
        <v>19.1</v>
      </c>
      <c r="Q191" s="16">
        <v>2.13</v>
      </c>
      <c r="R191" s="16">
        <v>7.26</v>
      </c>
      <c r="S191" s="16">
        <v>30.36</v>
      </c>
      <c r="T191" s="16">
        <v>35</v>
      </c>
      <c r="U191" s="25">
        <v>8</v>
      </c>
      <c r="V191" s="15">
        <v>1</v>
      </c>
    </row>
    <row r="192" spans="1:22">
      <c r="A192" s="13">
        <v>1365</v>
      </c>
      <c r="B192" s="14" t="s">
        <v>22</v>
      </c>
      <c r="C192" s="15">
        <v>84</v>
      </c>
      <c r="D192" s="15" t="s">
        <v>30</v>
      </c>
      <c r="E192" s="16" t="s">
        <v>29</v>
      </c>
      <c r="F192" s="16" t="s">
        <v>29</v>
      </c>
      <c r="G192" s="16" t="s">
        <v>29</v>
      </c>
      <c r="H192" s="16">
        <v>47.61</v>
      </c>
      <c r="I192" s="16">
        <v>21.09</v>
      </c>
      <c r="J192" s="16">
        <v>16.06</v>
      </c>
      <c r="K192" s="16">
        <v>5.27</v>
      </c>
      <c r="M192" s="17" t="e">
        <f t="shared" si="6"/>
        <v>#DIV/0!</v>
      </c>
      <c r="N192" s="17">
        <f t="shared" si="7"/>
        <v>2.96450809464508</v>
      </c>
      <c r="O192" s="16">
        <f t="shared" si="8"/>
        <v>9.03415559772296</v>
      </c>
      <c r="P192" s="16">
        <v>19.3</v>
      </c>
      <c r="Q192" s="16">
        <v>1.88</v>
      </c>
      <c r="R192" s="16">
        <v>20</v>
      </c>
      <c r="S192" s="16">
        <v>80</v>
      </c>
      <c r="T192" s="16">
        <v>98</v>
      </c>
      <c r="U192" s="25">
        <v>3</v>
      </c>
      <c r="V192" s="15">
        <v>1</v>
      </c>
    </row>
    <row r="193" spans="1:22">
      <c r="A193" s="13">
        <v>1367</v>
      </c>
      <c r="B193" s="14" t="s">
        <v>22</v>
      </c>
      <c r="C193" s="15">
        <v>38</v>
      </c>
      <c r="D193" s="15" t="s">
        <v>23</v>
      </c>
      <c r="E193" s="16" t="s">
        <v>29</v>
      </c>
      <c r="F193" s="16" t="s">
        <v>29</v>
      </c>
      <c r="G193" s="16" t="s">
        <v>29</v>
      </c>
      <c r="H193" s="16">
        <v>47.23</v>
      </c>
      <c r="I193" s="16">
        <v>26.59</v>
      </c>
      <c r="J193" s="16">
        <v>5.86</v>
      </c>
      <c r="K193" s="16">
        <v>1.58</v>
      </c>
      <c r="L193" s="16">
        <v>57</v>
      </c>
      <c r="M193" s="17">
        <f t="shared" si="6"/>
        <v>82.859649122807</v>
      </c>
      <c r="N193" s="17">
        <f t="shared" si="7"/>
        <v>8.05972696245734</v>
      </c>
      <c r="O193" s="16">
        <f t="shared" si="8"/>
        <v>29.8924050632911</v>
      </c>
      <c r="P193" s="16">
        <v>15.8</v>
      </c>
      <c r="Q193" s="16">
        <v>3.99</v>
      </c>
      <c r="R193" s="16">
        <v>9.29</v>
      </c>
      <c r="S193" s="16">
        <v>44.29</v>
      </c>
      <c r="T193" s="16">
        <v>37</v>
      </c>
      <c r="U193" s="25">
        <v>13</v>
      </c>
      <c r="V193" s="15">
        <v>1</v>
      </c>
    </row>
    <row r="194" spans="1:22">
      <c r="A194" s="13">
        <v>1370</v>
      </c>
      <c r="B194" s="14" t="s">
        <v>26</v>
      </c>
      <c r="C194" s="15">
        <v>90</v>
      </c>
      <c r="D194" s="15" t="s">
        <v>23</v>
      </c>
      <c r="E194" s="16" t="s">
        <v>29</v>
      </c>
      <c r="F194" s="16" t="s">
        <v>29</v>
      </c>
      <c r="G194" s="16" t="s">
        <v>29</v>
      </c>
      <c r="H194" s="16">
        <v>11.3</v>
      </c>
      <c r="I194" s="16">
        <v>19.06</v>
      </c>
      <c r="J194" s="16">
        <v>11.62</v>
      </c>
      <c r="K194" s="16">
        <v>0.97</v>
      </c>
      <c r="M194" s="17" t="e">
        <f t="shared" si="6"/>
        <v>#DIV/0!</v>
      </c>
      <c r="N194" s="17">
        <f t="shared" si="7"/>
        <v>0.972461273666093</v>
      </c>
      <c r="O194" s="16">
        <f t="shared" si="8"/>
        <v>11.6494845360825</v>
      </c>
      <c r="P194" s="16">
        <v>13.2</v>
      </c>
      <c r="Q194" s="16">
        <v>3.42</v>
      </c>
      <c r="R194" s="16">
        <v>2.73</v>
      </c>
      <c r="S194" s="16">
        <v>11.3</v>
      </c>
      <c r="T194" s="16">
        <v>41</v>
      </c>
      <c r="U194" s="25">
        <v>26</v>
      </c>
      <c r="V194" s="15">
        <v>0</v>
      </c>
    </row>
    <row r="195" spans="1:22">
      <c r="A195" s="13">
        <v>1371</v>
      </c>
      <c r="B195" s="14" t="s">
        <v>26</v>
      </c>
      <c r="C195" s="15">
        <v>75</v>
      </c>
      <c r="D195" s="15" t="s">
        <v>23</v>
      </c>
      <c r="E195" s="16" t="s">
        <v>24</v>
      </c>
      <c r="F195" s="16" t="s">
        <v>25</v>
      </c>
      <c r="G195" s="16" t="s">
        <v>25</v>
      </c>
      <c r="H195" s="16">
        <v>16.1</v>
      </c>
      <c r="I195" s="16">
        <v>15.67</v>
      </c>
      <c r="J195" s="16">
        <v>7.76</v>
      </c>
      <c r="K195" s="16">
        <v>1.54</v>
      </c>
      <c r="M195" s="17" t="e">
        <f t="shared" ref="M195:M258" si="9">100*H195/L195</f>
        <v>#DIV/0!</v>
      </c>
      <c r="N195" s="17">
        <f t="shared" ref="N195:N258" si="10">H195/J195</f>
        <v>2.07474226804124</v>
      </c>
      <c r="O195" s="16">
        <f t="shared" ref="O195:O258" si="11">H195/K195</f>
        <v>10.4545454545455</v>
      </c>
      <c r="P195" s="16">
        <v>10.8</v>
      </c>
      <c r="Q195" s="16">
        <v>3.44</v>
      </c>
      <c r="R195" s="16">
        <v>4.85</v>
      </c>
      <c r="S195" s="16">
        <v>17.27</v>
      </c>
      <c r="T195" s="16">
        <v>145</v>
      </c>
      <c r="U195" s="25">
        <v>51</v>
      </c>
      <c r="V195" s="15">
        <v>0</v>
      </c>
    </row>
    <row r="196" spans="1:22">
      <c r="A196" s="13">
        <v>1372</v>
      </c>
      <c r="B196" s="14" t="s">
        <v>26</v>
      </c>
      <c r="C196" s="15">
        <v>75</v>
      </c>
      <c r="D196" s="15" t="s">
        <v>23</v>
      </c>
      <c r="E196" s="16" t="s">
        <v>29</v>
      </c>
      <c r="F196" s="16" t="s">
        <v>29</v>
      </c>
      <c r="G196" s="16" t="s">
        <v>29</v>
      </c>
      <c r="H196" s="16">
        <v>5.83</v>
      </c>
      <c r="I196" s="16">
        <v>15.46</v>
      </c>
      <c r="J196" s="16">
        <v>15.5</v>
      </c>
      <c r="K196" s="16">
        <v>1.42</v>
      </c>
      <c r="M196" s="17" t="e">
        <f t="shared" si="9"/>
        <v>#DIV/0!</v>
      </c>
      <c r="N196" s="17">
        <f t="shared" si="10"/>
        <v>0.376129032258065</v>
      </c>
      <c r="O196" s="16">
        <f t="shared" si="11"/>
        <v>4.1056338028169</v>
      </c>
      <c r="P196" s="16">
        <v>28.8</v>
      </c>
      <c r="Q196" s="16">
        <v>4.59</v>
      </c>
      <c r="R196" s="16">
        <v>3.96</v>
      </c>
      <c r="S196" s="16">
        <v>12.13</v>
      </c>
      <c r="T196" s="16">
        <v>98</v>
      </c>
      <c r="U196" s="25">
        <v>51</v>
      </c>
      <c r="V196" s="15">
        <v>0</v>
      </c>
    </row>
    <row r="197" spans="1:22">
      <c r="A197" s="13">
        <v>1373</v>
      </c>
      <c r="B197" s="14" t="s">
        <v>26</v>
      </c>
      <c r="C197" s="15">
        <v>75</v>
      </c>
      <c r="D197" s="22" t="s">
        <v>28</v>
      </c>
      <c r="E197" s="16" t="s">
        <v>24</v>
      </c>
      <c r="F197" s="16" t="s">
        <v>25</v>
      </c>
      <c r="G197" s="16" t="s">
        <v>25</v>
      </c>
      <c r="H197" s="16">
        <v>4.37</v>
      </c>
      <c r="I197" s="16">
        <v>13.3</v>
      </c>
      <c r="J197" s="16">
        <v>9.32</v>
      </c>
      <c r="K197" s="16">
        <v>1.1</v>
      </c>
      <c r="M197" s="17" t="e">
        <f t="shared" si="9"/>
        <v>#DIV/0!</v>
      </c>
      <c r="N197" s="17">
        <f t="shared" si="10"/>
        <v>0.468884120171674</v>
      </c>
      <c r="O197" s="16">
        <f t="shared" si="11"/>
        <v>3.97272727272727</v>
      </c>
      <c r="P197" s="16">
        <v>10.4</v>
      </c>
      <c r="Q197" s="16">
        <v>4.54</v>
      </c>
      <c r="R197" s="16">
        <v>2.5</v>
      </c>
      <c r="S197" s="16">
        <v>8.69</v>
      </c>
      <c r="T197" s="16">
        <v>113</v>
      </c>
      <c r="U197" s="25">
        <v>11</v>
      </c>
      <c r="V197" s="15">
        <v>0</v>
      </c>
    </row>
    <row r="198" spans="1:22">
      <c r="A198" s="13">
        <v>1375</v>
      </c>
      <c r="B198" s="14" t="s">
        <v>26</v>
      </c>
      <c r="C198" s="15">
        <v>71</v>
      </c>
      <c r="D198" s="15" t="s">
        <v>23</v>
      </c>
      <c r="E198" s="16" t="s">
        <v>29</v>
      </c>
      <c r="F198" s="16" t="s">
        <v>29</v>
      </c>
      <c r="G198" s="16" t="s">
        <v>29</v>
      </c>
      <c r="H198" s="16">
        <v>14.69</v>
      </c>
      <c r="I198" s="16">
        <v>11.32</v>
      </c>
      <c r="J198" s="16">
        <v>7.32</v>
      </c>
      <c r="K198" s="16">
        <v>1.26</v>
      </c>
      <c r="L198" s="16">
        <v>48</v>
      </c>
      <c r="M198" s="17">
        <f t="shared" si="9"/>
        <v>30.6041666666667</v>
      </c>
      <c r="N198" s="17">
        <f t="shared" si="10"/>
        <v>2.0068306010929</v>
      </c>
      <c r="O198" s="16">
        <f t="shared" si="11"/>
        <v>11.6587301587302</v>
      </c>
      <c r="P198" s="16">
        <v>15.5</v>
      </c>
      <c r="Q198" s="16">
        <v>2.62</v>
      </c>
      <c r="R198" s="16">
        <v>4.09</v>
      </c>
      <c r="S198" s="16">
        <v>12.88</v>
      </c>
      <c r="T198" s="16">
        <v>31</v>
      </c>
      <c r="U198" s="25">
        <v>19</v>
      </c>
      <c r="V198" s="15">
        <v>0</v>
      </c>
    </row>
    <row r="199" spans="1:22">
      <c r="A199" s="13">
        <v>1376</v>
      </c>
      <c r="B199" s="14" t="s">
        <v>26</v>
      </c>
      <c r="C199" s="15">
        <v>71</v>
      </c>
      <c r="D199" s="15" t="s">
        <v>23</v>
      </c>
      <c r="E199" s="16" t="s">
        <v>24</v>
      </c>
      <c r="F199" s="16" t="s">
        <v>25</v>
      </c>
      <c r="G199" s="16" t="s">
        <v>25</v>
      </c>
      <c r="H199" s="16">
        <v>6.82</v>
      </c>
      <c r="I199" s="16">
        <v>21.13</v>
      </c>
      <c r="J199" s="16">
        <v>18.94</v>
      </c>
      <c r="K199" s="16">
        <v>0.73</v>
      </c>
      <c r="M199" s="17" t="e">
        <f t="shared" si="9"/>
        <v>#DIV/0!</v>
      </c>
      <c r="N199" s="17">
        <f t="shared" si="10"/>
        <v>0.360084477296726</v>
      </c>
      <c r="O199" s="16">
        <f t="shared" si="11"/>
        <v>9.34246575342466</v>
      </c>
      <c r="P199" s="16">
        <v>14</v>
      </c>
      <c r="Q199" s="16">
        <v>1.23</v>
      </c>
      <c r="T199" s="16">
        <v>152</v>
      </c>
      <c r="U199" s="25">
        <v>19</v>
      </c>
      <c r="V199" s="15">
        <v>0</v>
      </c>
    </row>
    <row r="200" spans="1:22">
      <c r="A200" s="13">
        <v>1378</v>
      </c>
      <c r="B200" s="14" t="s">
        <v>22</v>
      </c>
      <c r="C200" s="15">
        <v>73</v>
      </c>
      <c r="D200" s="15" t="s">
        <v>23</v>
      </c>
      <c r="E200" s="16" t="s">
        <v>24</v>
      </c>
      <c r="F200" s="16" t="s">
        <v>25</v>
      </c>
      <c r="G200" s="16" t="s">
        <v>25</v>
      </c>
      <c r="H200" s="16">
        <v>6.33</v>
      </c>
      <c r="I200" s="16">
        <v>22.27</v>
      </c>
      <c r="J200" s="16">
        <v>9.38</v>
      </c>
      <c r="K200" s="16">
        <v>4.26</v>
      </c>
      <c r="L200" s="16">
        <v>121</v>
      </c>
      <c r="M200" s="17">
        <f t="shared" si="9"/>
        <v>5.23140495867769</v>
      </c>
      <c r="N200" s="17">
        <f t="shared" si="10"/>
        <v>0.674840085287846</v>
      </c>
      <c r="O200" s="16">
        <f t="shared" si="11"/>
        <v>1.48591549295775</v>
      </c>
      <c r="P200" s="16">
        <v>14.2</v>
      </c>
      <c r="Q200" s="16">
        <v>5.8</v>
      </c>
      <c r="R200" s="16">
        <v>4.56</v>
      </c>
      <c r="S200" s="16">
        <v>15.46</v>
      </c>
      <c r="T200" s="16">
        <v>278</v>
      </c>
      <c r="U200" s="25">
        <v>31</v>
      </c>
      <c r="V200" s="15">
        <v>0</v>
      </c>
    </row>
    <row r="201" spans="1:22">
      <c r="A201" s="13">
        <v>1380</v>
      </c>
      <c r="B201" s="14" t="s">
        <v>26</v>
      </c>
      <c r="C201" s="15">
        <v>59</v>
      </c>
      <c r="D201" s="15" t="s">
        <v>23</v>
      </c>
      <c r="E201" s="16" t="s">
        <v>29</v>
      </c>
      <c r="F201" s="16" t="s">
        <v>29</v>
      </c>
      <c r="G201" s="16" t="s">
        <v>29</v>
      </c>
      <c r="H201" s="16">
        <v>46.55</v>
      </c>
      <c r="I201" s="16">
        <v>22.89</v>
      </c>
      <c r="J201" s="16">
        <v>12.96</v>
      </c>
      <c r="K201" s="16">
        <v>9.83</v>
      </c>
      <c r="L201" s="16">
        <v>51</v>
      </c>
      <c r="M201" s="17">
        <f t="shared" si="9"/>
        <v>91.2745098039216</v>
      </c>
      <c r="N201" s="17">
        <f t="shared" si="10"/>
        <v>3.59182098765432</v>
      </c>
      <c r="O201" s="16">
        <f t="shared" si="11"/>
        <v>4.73550356052899</v>
      </c>
      <c r="P201" s="16">
        <v>27.8</v>
      </c>
      <c r="Q201" s="16">
        <v>1.54</v>
      </c>
      <c r="R201" s="16">
        <v>20</v>
      </c>
      <c r="S201" s="16">
        <v>80</v>
      </c>
      <c r="T201" s="16">
        <v>116</v>
      </c>
      <c r="U201" s="25">
        <v>4</v>
      </c>
      <c r="V201" s="15">
        <v>1</v>
      </c>
    </row>
    <row r="202" spans="1:22">
      <c r="A202" s="13">
        <v>1382</v>
      </c>
      <c r="B202" s="14" t="s">
        <v>26</v>
      </c>
      <c r="C202" s="15">
        <v>45</v>
      </c>
      <c r="D202" s="15" t="s">
        <v>23</v>
      </c>
      <c r="E202" s="16" t="s">
        <v>24</v>
      </c>
      <c r="F202" s="16" t="s">
        <v>25</v>
      </c>
      <c r="G202" s="16" t="s">
        <v>25</v>
      </c>
      <c r="H202" s="16">
        <v>8.21</v>
      </c>
      <c r="K202" s="16">
        <v>1.05</v>
      </c>
      <c r="L202" s="16">
        <v>97</v>
      </c>
      <c r="M202" s="17">
        <f t="shared" si="9"/>
        <v>8.4639175257732</v>
      </c>
      <c r="N202" s="17" t="e">
        <f t="shared" si="10"/>
        <v>#DIV/0!</v>
      </c>
      <c r="O202" s="16">
        <f t="shared" si="11"/>
        <v>7.81904761904762</v>
      </c>
      <c r="P202" s="16">
        <v>15.3</v>
      </c>
      <c r="Q202" s="16">
        <v>3.23</v>
      </c>
      <c r="R202" s="16">
        <v>2.26</v>
      </c>
      <c r="S202" s="16">
        <v>6.85</v>
      </c>
      <c r="T202" s="16">
        <v>333</v>
      </c>
      <c r="U202" s="25">
        <v>50</v>
      </c>
      <c r="V202" s="15">
        <v>0</v>
      </c>
    </row>
    <row r="203" spans="1:22">
      <c r="A203" s="13">
        <v>1385</v>
      </c>
      <c r="B203" s="14" t="s">
        <v>26</v>
      </c>
      <c r="C203" s="15">
        <v>50</v>
      </c>
      <c r="D203" s="15" t="s">
        <v>23</v>
      </c>
      <c r="E203" s="16" t="s">
        <v>24</v>
      </c>
      <c r="F203" s="16" t="s">
        <v>25</v>
      </c>
      <c r="G203" s="16" t="s">
        <v>25</v>
      </c>
      <c r="H203" s="16">
        <v>0.46</v>
      </c>
      <c r="I203" s="16">
        <v>879</v>
      </c>
      <c r="J203" s="16">
        <v>2.14</v>
      </c>
      <c r="K203" s="16">
        <v>0.16</v>
      </c>
      <c r="L203" s="16">
        <v>61</v>
      </c>
      <c r="M203" s="17">
        <f t="shared" si="9"/>
        <v>0.754098360655738</v>
      </c>
      <c r="N203" s="17">
        <f t="shared" si="10"/>
        <v>0.214953271028037</v>
      </c>
      <c r="O203" s="16">
        <f t="shared" si="11"/>
        <v>2.875</v>
      </c>
      <c r="P203" s="16">
        <v>16.8</v>
      </c>
      <c r="Q203" s="16">
        <v>8.51</v>
      </c>
      <c r="R203" s="16">
        <v>2.36</v>
      </c>
      <c r="S203" s="16">
        <v>11.1</v>
      </c>
      <c r="T203" s="16">
        <v>191</v>
      </c>
      <c r="U203" s="25">
        <v>12</v>
      </c>
      <c r="V203" s="15">
        <v>0</v>
      </c>
    </row>
    <row r="204" spans="1:22">
      <c r="A204" s="13">
        <v>1386</v>
      </c>
      <c r="B204" s="14" t="s">
        <v>26</v>
      </c>
      <c r="C204" s="15">
        <v>50</v>
      </c>
      <c r="D204" s="15" t="s">
        <v>23</v>
      </c>
      <c r="E204" s="16" t="s">
        <v>24</v>
      </c>
      <c r="F204" s="16" t="s">
        <v>25</v>
      </c>
      <c r="G204" s="16" t="s">
        <v>25</v>
      </c>
      <c r="H204" s="16">
        <v>61.97</v>
      </c>
      <c r="I204" s="16">
        <v>10.79</v>
      </c>
      <c r="J204" s="16">
        <v>10.63</v>
      </c>
      <c r="K204" s="16">
        <v>24.31</v>
      </c>
      <c r="L204" s="16">
        <v>90</v>
      </c>
      <c r="M204" s="17">
        <f t="shared" si="9"/>
        <v>68.8555555555556</v>
      </c>
      <c r="N204" s="17">
        <f t="shared" si="10"/>
        <v>5.82972718720602</v>
      </c>
      <c r="O204" s="16">
        <f t="shared" si="11"/>
        <v>2.54915672562731</v>
      </c>
      <c r="P204" s="16">
        <v>15.2</v>
      </c>
      <c r="Q204" s="16">
        <v>1.83</v>
      </c>
      <c r="R204" s="16">
        <v>20</v>
      </c>
      <c r="S204" s="16">
        <v>150</v>
      </c>
      <c r="T204" s="16">
        <v>127</v>
      </c>
      <c r="U204" s="25">
        <v>12</v>
      </c>
      <c r="V204" s="15">
        <v>0</v>
      </c>
    </row>
    <row r="205" spans="1:22">
      <c r="A205" s="13">
        <v>1387</v>
      </c>
      <c r="B205" s="14" t="s">
        <v>26</v>
      </c>
      <c r="C205" s="15">
        <v>60</v>
      </c>
      <c r="D205" s="15" t="s">
        <v>23</v>
      </c>
      <c r="E205" s="16" t="s">
        <v>24</v>
      </c>
      <c r="F205" s="16" t="s">
        <v>25</v>
      </c>
      <c r="G205" s="16" t="s">
        <v>25</v>
      </c>
      <c r="H205" s="16">
        <v>14.85</v>
      </c>
      <c r="I205" s="16">
        <v>11.66</v>
      </c>
      <c r="J205" s="16">
        <v>8.29</v>
      </c>
      <c r="K205" s="16">
        <v>0.72</v>
      </c>
      <c r="L205" s="16">
        <v>72</v>
      </c>
      <c r="M205" s="17">
        <f t="shared" si="9"/>
        <v>20.625</v>
      </c>
      <c r="N205" s="17">
        <f t="shared" si="10"/>
        <v>1.7913148371532</v>
      </c>
      <c r="O205" s="16">
        <f t="shared" si="11"/>
        <v>20.625</v>
      </c>
      <c r="P205" s="16">
        <v>14.7</v>
      </c>
      <c r="Q205" s="16">
        <v>7.75</v>
      </c>
      <c r="R205" s="16">
        <v>6.77</v>
      </c>
      <c r="S205" s="16">
        <v>22.76</v>
      </c>
      <c r="T205" s="16">
        <v>245</v>
      </c>
      <c r="U205" s="25">
        <v>29</v>
      </c>
      <c r="V205" s="15">
        <v>0</v>
      </c>
    </row>
    <row r="206" spans="1:22">
      <c r="A206" s="13">
        <v>1391</v>
      </c>
      <c r="B206" s="14" t="s">
        <v>26</v>
      </c>
      <c r="C206" s="15">
        <v>48</v>
      </c>
      <c r="D206" s="15" t="s">
        <v>23</v>
      </c>
      <c r="E206" s="16" t="s">
        <v>24</v>
      </c>
      <c r="F206" s="16" t="s">
        <v>25</v>
      </c>
      <c r="G206" s="16" t="s">
        <v>25</v>
      </c>
      <c r="H206" s="16">
        <v>16.34</v>
      </c>
      <c r="I206" s="16">
        <v>22.28</v>
      </c>
      <c r="J206" s="16">
        <v>9.55</v>
      </c>
      <c r="K206" s="16">
        <v>0.6</v>
      </c>
      <c r="L206" s="16">
        <v>61</v>
      </c>
      <c r="M206" s="17">
        <f t="shared" si="9"/>
        <v>26.7868852459016</v>
      </c>
      <c r="N206" s="17">
        <f t="shared" si="10"/>
        <v>1.71099476439791</v>
      </c>
      <c r="O206" s="16">
        <f t="shared" si="11"/>
        <v>27.2333333333333</v>
      </c>
      <c r="P206" s="16">
        <v>15.5</v>
      </c>
      <c r="Q206" s="16">
        <v>2.44</v>
      </c>
      <c r="R206" s="16">
        <v>2.73</v>
      </c>
      <c r="S206" s="16">
        <v>6.78</v>
      </c>
      <c r="T206" s="16">
        <v>190</v>
      </c>
      <c r="U206" s="25"/>
      <c r="V206" s="15">
        <v>0</v>
      </c>
    </row>
    <row r="207" spans="1:22">
      <c r="A207" s="13">
        <v>1392</v>
      </c>
      <c r="B207" s="14" t="s">
        <v>26</v>
      </c>
      <c r="C207" s="15">
        <v>60</v>
      </c>
      <c r="D207" s="15" t="s">
        <v>23</v>
      </c>
      <c r="E207" s="16" t="s">
        <v>24</v>
      </c>
      <c r="F207" s="16" t="s">
        <v>25</v>
      </c>
      <c r="G207" s="16" t="s">
        <v>25</v>
      </c>
      <c r="H207" s="16">
        <v>3.76</v>
      </c>
      <c r="I207" s="16">
        <v>29.84</v>
      </c>
      <c r="J207" s="16">
        <v>19.63</v>
      </c>
      <c r="K207" s="16">
        <v>0.58</v>
      </c>
      <c r="L207" s="16">
        <v>88</v>
      </c>
      <c r="M207" s="17">
        <f t="shared" si="9"/>
        <v>4.27272727272727</v>
      </c>
      <c r="N207" s="17">
        <f t="shared" si="10"/>
        <v>0.191543555781966</v>
      </c>
      <c r="O207" s="16">
        <f t="shared" si="11"/>
        <v>6.48275862068966</v>
      </c>
      <c r="P207" s="16">
        <v>16.3</v>
      </c>
      <c r="Q207" s="16">
        <v>7.22</v>
      </c>
      <c r="R207" s="16">
        <v>2.04</v>
      </c>
      <c r="S207" s="16">
        <v>6.19</v>
      </c>
      <c r="T207" s="16">
        <v>540</v>
      </c>
      <c r="U207" s="25">
        <v>37</v>
      </c>
      <c r="V207" s="15">
        <v>0</v>
      </c>
    </row>
    <row r="208" spans="1:22">
      <c r="A208" s="13">
        <v>1393</v>
      </c>
      <c r="B208" s="14" t="s">
        <v>26</v>
      </c>
      <c r="C208" s="15">
        <v>60</v>
      </c>
      <c r="D208" s="15" t="s">
        <v>23</v>
      </c>
      <c r="E208" s="16" t="s">
        <v>24</v>
      </c>
      <c r="F208" s="16" t="s">
        <v>25</v>
      </c>
      <c r="G208" s="16" t="s">
        <v>25</v>
      </c>
      <c r="H208" s="16">
        <v>6.97</v>
      </c>
      <c r="I208" s="16">
        <v>25.36</v>
      </c>
      <c r="J208" s="16">
        <v>5.76</v>
      </c>
      <c r="K208" s="16">
        <v>0.98</v>
      </c>
      <c r="M208" s="17" t="e">
        <f t="shared" si="9"/>
        <v>#DIV/0!</v>
      </c>
      <c r="N208" s="17">
        <f t="shared" si="10"/>
        <v>1.21006944444444</v>
      </c>
      <c r="O208" s="16">
        <f t="shared" si="11"/>
        <v>7.11224489795918</v>
      </c>
      <c r="P208" s="16">
        <v>11.1</v>
      </c>
      <c r="Q208" s="16">
        <v>5.94</v>
      </c>
      <c r="R208" s="16">
        <v>1.05</v>
      </c>
      <c r="T208" s="16">
        <v>388</v>
      </c>
      <c r="U208" s="25">
        <v>37</v>
      </c>
      <c r="V208" s="15">
        <v>0</v>
      </c>
    </row>
    <row r="209" spans="1:22">
      <c r="A209" s="13">
        <v>1395</v>
      </c>
      <c r="B209" s="14" t="s">
        <v>22</v>
      </c>
      <c r="C209" s="15">
        <v>74</v>
      </c>
      <c r="D209" s="15" t="s">
        <v>27</v>
      </c>
      <c r="E209" s="16" t="s">
        <v>24</v>
      </c>
      <c r="F209" s="16" t="s">
        <v>25</v>
      </c>
      <c r="G209" s="16" t="s">
        <v>25</v>
      </c>
      <c r="H209" s="16">
        <v>3.02</v>
      </c>
      <c r="I209" s="16">
        <v>11.65</v>
      </c>
      <c r="J209" s="16">
        <v>6.76</v>
      </c>
      <c r="K209" s="16">
        <v>1.14</v>
      </c>
      <c r="M209" s="17" t="e">
        <f t="shared" si="9"/>
        <v>#DIV/0!</v>
      </c>
      <c r="N209" s="17">
        <f t="shared" si="10"/>
        <v>0.446745562130178</v>
      </c>
      <c r="O209" s="16">
        <f t="shared" si="11"/>
        <v>2.64912280701754</v>
      </c>
      <c r="P209" s="16">
        <v>11.6</v>
      </c>
      <c r="Q209" s="16">
        <v>4.34</v>
      </c>
      <c r="R209" s="16">
        <v>4.34</v>
      </c>
      <c r="S209" s="16">
        <v>12.74</v>
      </c>
      <c r="T209" s="16">
        <v>241</v>
      </c>
      <c r="U209" s="25">
        <v>30</v>
      </c>
      <c r="V209" s="15">
        <v>0</v>
      </c>
    </row>
    <row r="210" spans="1:22">
      <c r="A210" s="13">
        <v>1396</v>
      </c>
      <c r="B210" s="14" t="s">
        <v>26</v>
      </c>
      <c r="C210" s="15">
        <v>31</v>
      </c>
      <c r="D210" s="22" t="s">
        <v>35</v>
      </c>
      <c r="E210" s="16" t="s">
        <v>29</v>
      </c>
      <c r="F210" s="16" t="s">
        <v>29</v>
      </c>
      <c r="G210" s="16" t="s">
        <v>29</v>
      </c>
      <c r="H210" s="16">
        <v>22.6</v>
      </c>
      <c r="I210" s="16">
        <v>12.16</v>
      </c>
      <c r="J210" s="16">
        <v>6.68</v>
      </c>
      <c r="K210" s="16">
        <v>2.51</v>
      </c>
      <c r="M210" s="17" t="e">
        <f t="shared" si="9"/>
        <v>#DIV/0!</v>
      </c>
      <c r="N210" s="17">
        <f t="shared" si="10"/>
        <v>3.38323353293413</v>
      </c>
      <c r="O210" s="16">
        <f t="shared" si="11"/>
        <v>9.00398406374502</v>
      </c>
      <c r="P210" s="16">
        <v>15.2</v>
      </c>
      <c r="Q210" s="16">
        <v>2.47</v>
      </c>
      <c r="R210" s="16">
        <v>15.39</v>
      </c>
      <c r="T210" s="16">
        <v>45</v>
      </c>
      <c r="U210" s="25">
        <v>36</v>
      </c>
      <c r="V210" s="15">
        <v>1</v>
      </c>
    </row>
    <row r="211" spans="1:22">
      <c r="A211" s="13">
        <v>1397</v>
      </c>
      <c r="B211" s="14" t="s">
        <v>26</v>
      </c>
      <c r="C211" s="15">
        <v>32</v>
      </c>
      <c r="D211" s="22" t="s">
        <v>35</v>
      </c>
      <c r="E211" s="16" t="s">
        <v>24</v>
      </c>
      <c r="F211" s="16" t="s">
        <v>31</v>
      </c>
      <c r="G211" s="16" t="s">
        <v>32</v>
      </c>
      <c r="H211" s="16">
        <v>6.88</v>
      </c>
      <c r="I211" s="16">
        <v>19.32</v>
      </c>
      <c r="J211" s="16">
        <v>27.59</v>
      </c>
      <c r="K211" s="16">
        <v>0.98</v>
      </c>
      <c r="L211" s="16">
        <v>84</v>
      </c>
      <c r="M211" s="17">
        <f t="shared" si="9"/>
        <v>8.19047619047619</v>
      </c>
      <c r="N211" s="17">
        <f t="shared" si="10"/>
        <v>0.24936571221457</v>
      </c>
      <c r="O211" s="16">
        <f t="shared" si="11"/>
        <v>7.02040816326531</v>
      </c>
      <c r="P211" s="16">
        <v>14.8</v>
      </c>
      <c r="Q211" s="16">
        <v>8.57</v>
      </c>
      <c r="R211" s="16">
        <v>3.63</v>
      </c>
      <c r="S211" s="16">
        <v>11.06</v>
      </c>
      <c r="T211" s="16">
        <v>101</v>
      </c>
      <c r="U211" s="25">
        <v>33</v>
      </c>
      <c r="V211" s="15">
        <v>0</v>
      </c>
    </row>
    <row r="212" spans="1:22">
      <c r="A212" s="13">
        <v>1398</v>
      </c>
      <c r="B212" s="14" t="s">
        <v>26</v>
      </c>
      <c r="C212" s="15">
        <v>40</v>
      </c>
      <c r="D212" s="22" t="s">
        <v>28</v>
      </c>
      <c r="E212" s="16" t="s">
        <v>24</v>
      </c>
      <c r="F212" s="16" t="s">
        <v>25</v>
      </c>
      <c r="G212" s="16" t="s">
        <v>25</v>
      </c>
      <c r="H212" s="16">
        <v>2.86</v>
      </c>
      <c r="I212" s="16">
        <v>10.75</v>
      </c>
      <c r="J212" s="16">
        <v>66.45</v>
      </c>
      <c r="K212" s="16">
        <v>0.94</v>
      </c>
      <c r="M212" s="17" t="e">
        <f t="shared" si="9"/>
        <v>#DIV/0!</v>
      </c>
      <c r="N212" s="17">
        <f t="shared" si="10"/>
        <v>0.0430398796087284</v>
      </c>
      <c r="O212" s="16">
        <f t="shared" si="11"/>
        <v>3.04255319148936</v>
      </c>
      <c r="P212" s="16">
        <v>17.9</v>
      </c>
      <c r="Q212" s="16">
        <v>1.82</v>
      </c>
      <c r="R212" s="16">
        <v>2.01</v>
      </c>
      <c r="S212" s="16">
        <v>6.53</v>
      </c>
      <c r="T212" s="16">
        <v>139</v>
      </c>
      <c r="U212" s="25">
        <v>23</v>
      </c>
      <c r="V212" s="15">
        <v>0</v>
      </c>
    </row>
    <row r="213" spans="1:22">
      <c r="A213" s="13">
        <v>1400</v>
      </c>
      <c r="B213" s="14" t="s">
        <v>22</v>
      </c>
      <c r="C213" s="15">
        <v>75</v>
      </c>
      <c r="D213" s="15" t="s">
        <v>23</v>
      </c>
      <c r="E213" s="16" t="s">
        <v>24</v>
      </c>
      <c r="F213" s="16" t="s">
        <v>25</v>
      </c>
      <c r="G213" s="16" t="s">
        <v>25</v>
      </c>
      <c r="H213" s="16">
        <v>8.73</v>
      </c>
      <c r="I213" s="16">
        <v>25.99</v>
      </c>
      <c r="J213" s="16">
        <v>8.51</v>
      </c>
      <c r="K213" s="16">
        <v>153</v>
      </c>
      <c r="L213" s="16">
        <v>99</v>
      </c>
      <c r="M213" s="17">
        <f t="shared" si="9"/>
        <v>8.81818181818182</v>
      </c>
      <c r="N213" s="17">
        <f t="shared" si="10"/>
        <v>1.02585193889542</v>
      </c>
      <c r="O213" s="16">
        <f t="shared" si="11"/>
        <v>0.0570588235294118</v>
      </c>
      <c r="P213" s="16">
        <v>13.3</v>
      </c>
      <c r="Q213" s="16">
        <v>5.71</v>
      </c>
      <c r="R213" s="16">
        <v>2.48</v>
      </c>
      <c r="S213" s="16">
        <v>10.93</v>
      </c>
      <c r="T213" s="16">
        <v>132</v>
      </c>
      <c r="U213" s="25">
        <v>20</v>
      </c>
      <c r="V213" s="15">
        <v>0</v>
      </c>
    </row>
    <row r="214" spans="1:22">
      <c r="A214" s="13">
        <v>1405</v>
      </c>
      <c r="B214" s="14" t="s">
        <v>22</v>
      </c>
      <c r="C214" s="15">
        <v>82</v>
      </c>
      <c r="D214" s="15" t="s">
        <v>23</v>
      </c>
      <c r="E214" s="16" t="s">
        <v>24</v>
      </c>
      <c r="F214" s="16" t="s">
        <v>31</v>
      </c>
      <c r="G214" s="16" t="s">
        <v>32</v>
      </c>
      <c r="H214" s="16">
        <v>1.9</v>
      </c>
      <c r="I214" s="16">
        <v>21.53</v>
      </c>
      <c r="J214" s="16">
        <v>8.69</v>
      </c>
      <c r="K214" s="16">
        <v>0.85</v>
      </c>
      <c r="M214" s="17" t="e">
        <f t="shared" si="9"/>
        <v>#DIV/0!</v>
      </c>
      <c r="N214" s="17">
        <f t="shared" si="10"/>
        <v>0.218642117376295</v>
      </c>
      <c r="O214" s="16">
        <f t="shared" si="11"/>
        <v>2.23529411764706</v>
      </c>
      <c r="P214" s="16">
        <v>16.3</v>
      </c>
      <c r="Q214" s="16">
        <v>1.38</v>
      </c>
      <c r="R214" s="16">
        <v>1.74</v>
      </c>
      <c r="S214" s="16">
        <v>5.64</v>
      </c>
      <c r="T214" s="16">
        <v>35</v>
      </c>
      <c r="U214" s="25">
        <v>41</v>
      </c>
      <c r="V214" s="15">
        <v>1</v>
      </c>
    </row>
    <row r="215" spans="1:22">
      <c r="A215" s="13">
        <v>1406</v>
      </c>
      <c r="B215" s="14" t="s">
        <v>22</v>
      </c>
      <c r="C215" s="15">
        <v>82</v>
      </c>
      <c r="D215" s="15" t="s">
        <v>23</v>
      </c>
      <c r="E215" s="16" t="s">
        <v>24</v>
      </c>
      <c r="F215" s="16" t="s">
        <v>31</v>
      </c>
      <c r="G215" s="16" t="s">
        <v>32</v>
      </c>
      <c r="H215" s="16">
        <v>19.85</v>
      </c>
      <c r="I215" s="16">
        <v>32.91</v>
      </c>
      <c r="J215" s="16">
        <v>18.88</v>
      </c>
      <c r="K215" s="16">
        <v>1.91</v>
      </c>
      <c r="M215" s="17" t="e">
        <f t="shared" si="9"/>
        <v>#DIV/0!</v>
      </c>
      <c r="N215" s="17">
        <f t="shared" si="10"/>
        <v>1.05137711864407</v>
      </c>
      <c r="O215" s="16">
        <f t="shared" si="11"/>
        <v>10.3926701570681</v>
      </c>
      <c r="P215" s="16">
        <v>10.7</v>
      </c>
      <c r="Q215" s="16">
        <v>3.05</v>
      </c>
      <c r="R215" s="16">
        <v>2.01</v>
      </c>
      <c r="S215" s="16">
        <v>9.48</v>
      </c>
      <c r="T215" s="16">
        <v>87</v>
      </c>
      <c r="U215" s="25">
        <v>41</v>
      </c>
      <c r="V215" s="15">
        <v>1</v>
      </c>
    </row>
    <row r="216" spans="1:22">
      <c r="A216" s="13">
        <v>1407</v>
      </c>
      <c r="B216" s="14" t="s">
        <v>22</v>
      </c>
      <c r="C216" s="15">
        <v>82</v>
      </c>
      <c r="D216" s="15" t="s">
        <v>23</v>
      </c>
      <c r="E216" s="16" t="s">
        <v>24</v>
      </c>
      <c r="F216" s="16" t="s">
        <v>31</v>
      </c>
      <c r="G216" s="16" t="s">
        <v>33</v>
      </c>
      <c r="H216" s="16">
        <v>11.18</v>
      </c>
      <c r="I216" s="16">
        <v>40.3</v>
      </c>
      <c r="J216" s="16">
        <v>17.76</v>
      </c>
      <c r="K216" s="16">
        <v>4.28</v>
      </c>
      <c r="M216" s="17" t="e">
        <f t="shared" si="9"/>
        <v>#DIV/0!</v>
      </c>
      <c r="N216" s="17">
        <f t="shared" si="10"/>
        <v>0.629504504504504</v>
      </c>
      <c r="O216" s="16">
        <f t="shared" si="11"/>
        <v>2.61214953271028</v>
      </c>
      <c r="P216" s="16">
        <v>12</v>
      </c>
      <c r="Q216" s="16">
        <v>3.29</v>
      </c>
      <c r="R216" s="16">
        <v>7.03</v>
      </c>
      <c r="S216" s="16">
        <v>24.99</v>
      </c>
      <c r="T216" s="16">
        <v>87</v>
      </c>
      <c r="U216" s="25">
        <v>41</v>
      </c>
      <c r="V216" s="15">
        <v>1</v>
      </c>
    </row>
    <row r="217" spans="1:22">
      <c r="A217" s="13">
        <v>1409</v>
      </c>
      <c r="B217" s="14" t="s">
        <v>26</v>
      </c>
      <c r="C217" s="15">
        <v>79</v>
      </c>
      <c r="D217" s="15" t="s">
        <v>23</v>
      </c>
      <c r="E217" s="16" t="s">
        <v>24</v>
      </c>
      <c r="F217" s="16" t="s">
        <v>25</v>
      </c>
      <c r="G217" s="16" t="s">
        <v>25</v>
      </c>
      <c r="H217" s="16">
        <v>4.27</v>
      </c>
      <c r="I217" s="16">
        <v>11.08</v>
      </c>
      <c r="J217" s="16">
        <v>13.57</v>
      </c>
      <c r="K217" s="16">
        <v>1.01</v>
      </c>
      <c r="M217" s="17" t="e">
        <f t="shared" si="9"/>
        <v>#DIV/0!</v>
      </c>
      <c r="N217" s="17">
        <f t="shared" si="10"/>
        <v>0.314664701547531</v>
      </c>
      <c r="O217" s="16">
        <f t="shared" si="11"/>
        <v>4.22772277227723</v>
      </c>
      <c r="P217" s="16">
        <v>13.2</v>
      </c>
      <c r="Q217" s="16">
        <v>3.61</v>
      </c>
      <c r="R217" s="16">
        <v>4.69</v>
      </c>
      <c r="T217" s="16">
        <v>251</v>
      </c>
      <c r="U217" s="25">
        <v>36</v>
      </c>
      <c r="V217" s="15">
        <v>0</v>
      </c>
    </row>
    <row r="218" spans="1:22">
      <c r="A218" s="13">
        <v>1412</v>
      </c>
      <c r="B218" s="14" t="s">
        <v>22</v>
      </c>
      <c r="C218" s="15">
        <v>69</v>
      </c>
      <c r="D218" s="22" t="s">
        <v>28</v>
      </c>
      <c r="E218" s="16" t="s">
        <v>29</v>
      </c>
      <c r="F218" s="16" t="s">
        <v>29</v>
      </c>
      <c r="G218" s="16" t="s">
        <v>29</v>
      </c>
      <c r="H218" s="16">
        <v>2.69</v>
      </c>
      <c r="I218" s="16">
        <v>9.03</v>
      </c>
      <c r="J218" s="16">
        <v>11.6</v>
      </c>
      <c r="K218" s="16">
        <v>0.73</v>
      </c>
      <c r="L218" s="16">
        <v>47</v>
      </c>
      <c r="M218" s="17">
        <f t="shared" si="9"/>
        <v>5.72340425531915</v>
      </c>
      <c r="N218" s="17">
        <f t="shared" si="10"/>
        <v>0.231896551724138</v>
      </c>
      <c r="O218" s="16">
        <f t="shared" si="11"/>
        <v>3.68493150684931</v>
      </c>
      <c r="P218" s="16">
        <v>23.2</v>
      </c>
      <c r="Q218" s="16">
        <v>1.63</v>
      </c>
      <c r="R218" s="16">
        <v>6.76</v>
      </c>
      <c r="S218" s="16">
        <v>18.23</v>
      </c>
      <c r="T218" s="16">
        <v>79</v>
      </c>
      <c r="U218" s="25">
        <v>14</v>
      </c>
      <c r="V218" s="15">
        <v>0</v>
      </c>
    </row>
    <row r="219" spans="1:22">
      <c r="A219" s="13">
        <v>1413</v>
      </c>
      <c r="B219" s="14" t="s">
        <v>22</v>
      </c>
      <c r="C219" s="15">
        <v>69</v>
      </c>
      <c r="D219" s="22" t="s">
        <v>28</v>
      </c>
      <c r="E219" s="16" t="s">
        <v>29</v>
      </c>
      <c r="F219" s="16" t="s">
        <v>29</v>
      </c>
      <c r="G219" s="16" t="s">
        <v>29</v>
      </c>
      <c r="H219" s="16">
        <v>2.1</v>
      </c>
      <c r="I219" s="16">
        <v>7.35</v>
      </c>
      <c r="J219" s="16">
        <v>11.57</v>
      </c>
      <c r="K219" s="16">
        <v>1.48</v>
      </c>
      <c r="L219" s="16">
        <v>61</v>
      </c>
      <c r="M219" s="17">
        <f t="shared" si="9"/>
        <v>3.44262295081967</v>
      </c>
      <c r="N219" s="17">
        <f t="shared" si="10"/>
        <v>0.181503889369058</v>
      </c>
      <c r="O219" s="16">
        <f t="shared" si="11"/>
        <v>1.41891891891892</v>
      </c>
      <c r="P219" s="16">
        <v>19.4</v>
      </c>
      <c r="Q219" s="16">
        <v>2.4</v>
      </c>
      <c r="R219" s="16">
        <v>6.25</v>
      </c>
      <c r="S219" s="16">
        <v>18.5</v>
      </c>
      <c r="T219" s="16">
        <v>60</v>
      </c>
      <c r="U219" s="25">
        <v>14</v>
      </c>
      <c r="V219" s="15">
        <v>0</v>
      </c>
    </row>
    <row r="220" spans="1:22">
      <c r="A220" s="13">
        <v>1414</v>
      </c>
      <c r="B220" s="14" t="s">
        <v>22</v>
      </c>
      <c r="C220" s="15">
        <v>30</v>
      </c>
      <c r="D220" s="22" t="s">
        <v>28</v>
      </c>
      <c r="E220" s="16" t="s">
        <v>24</v>
      </c>
      <c r="F220" s="16" t="s">
        <v>25</v>
      </c>
      <c r="G220" s="16" t="s">
        <v>25</v>
      </c>
      <c r="H220" s="16">
        <v>3.29</v>
      </c>
      <c r="I220" s="16">
        <v>7.07</v>
      </c>
      <c r="J220" s="16">
        <v>3.61</v>
      </c>
      <c r="K220" s="16">
        <v>1.37</v>
      </c>
      <c r="L220" s="16">
        <v>84</v>
      </c>
      <c r="M220" s="17">
        <f t="shared" si="9"/>
        <v>3.91666666666667</v>
      </c>
      <c r="N220" s="17">
        <f t="shared" si="10"/>
        <v>0.911357340720222</v>
      </c>
      <c r="O220" s="16">
        <f t="shared" si="11"/>
        <v>2.4014598540146</v>
      </c>
      <c r="P220" s="16">
        <v>13.6</v>
      </c>
      <c r="Q220" s="16">
        <v>3.68</v>
      </c>
      <c r="R220" s="16">
        <v>1.92</v>
      </c>
      <c r="S220" s="16">
        <v>8.97</v>
      </c>
      <c r="T220" s="16">
        <v>224</v>
      </c>
      <c r="U220" s="25">
        <v>18</v>
      </c>
      <c r="V220" s="15">
        <v>0</v>
      </c>
    </row>
    <row r="221" spans="1:22">
      <c r="A221" s="13">
        <v>1415</v>
      </c>
      <c r="B221" s="14" t="s">
        <v>26</v>
      </c>
      <c r="C221" s="15">
        <v>44</v>
      </c>
      <c r="D221" s="15" t="s">
        <v>23</v>
      </c>
      <c r="E221" s="16" t="s">
        <v>24</v>
      </c>
      <c r="F221" s="16" t="s">
        <v>25</v>
      </c>
      <c r="G221" s="16" t="s">
        <v>25</v>
      </c>
      <c r="H221" s="16">
        <v>2.57</v>
      </c>
      <c r="I221" s="16">
        <v>11.65</v>
      </c>
      <c r="J221" s="16">
        <v>5.28</v>
      </c>
      <c r="K221" s="16">
        <v>3.13</v>
      </c>
      <c r="L221" s="16">
        <v>114</v>
      </c>
      <c r="M221" s="17">
        <f t="shared" si="9"/>
        <v>2.25438596491228</v>
      </c>
      <c r="N221" s="17">
        <f t="shared" si="10"/>
        <v>0.486742424242424</v>
      </c>
      <c r="O221" s="16">
        <f t="shared" si="11"/>
        <v>0.821086261980831</v>
      </c>
      <c r="P221" s="16">
        <v>15.1</v>
      </c>
      <c r="Q221" s="16">
        <v>6.38</v>
      </c>
      <c r="R221" s="16">
        <v>2.07</v>
      </c>
      <c r="S221" s="16">
        <v>7.94</v>
      </c>
      <c r="T221" s="16">
        <v>676</v>
      </c>
      <c r="U221" s="25">
        <v>41</v>
      </c>
      <c r="V221" s="15">
        <v>0</v>
      </c>
    </row>
    <row r="222" spans="1:22">
      <c r="A222" s="13">
        <v>1416</v>
      </c>
      <c r="B222" s="14" t="s">
        <v>22</v>
      </c>
      <c r="C222" s="15">
        <v>87</v>
      </c>
      <c r="D222" s="22" t="s">
        <v>28</v>
      </c>
      <c r="E222" s="16" t="s">
        <v>24</v>
      </c>
      <c r="F222" s="16" t="s">
        <v>25</v>
      </c>
      <c r="G222" s="16" t="s">
        <v>25</v>
      </c>
      <c r="H222" s="16">
        <v>2.62</v>
      </c>
      <c r="I222" s="16">
        <v>25.45</v>
      </c>
      <c r="J222" s="16">
        <v>35.32</v>
      </c>
      <c r="K222" s="16">
        <v>1.58</v>
      </c>
      <c r="M222" s="17" t="e">
        <f t="shared" si="9"/>
        <v>#DIV/0!</v>
      </c>
      <c r="N222" s="17">
        <f t="shared" si="10"/>
        <v>0.0741789354473386</v>
      </c>
      <c r="O222" s="16">
        <f t="shared" si="11"/>
        <v>1.65822784810127</v>
      </c>
      <c r="P222" s="16">
        <v>13</v>
      </c>
      <c r="Q222" s="16">
        <v>1.38</v>
      </c>
      <c r="R222" s="16">
        <v>0.72</v>
      </c>
      <c r="T222" s="16">
        <v>81</v>
      </c>
      <c r="U222" s="25">
        <v>82</v>
      </c>
      <c r="V222" s="15">
        <v>0</v>
      </c>
    </row>
    <row r="223" spans="1:22">
      <c r="A223" s="13">
        <v>1417</v>
      </c>
      <c r="B223" s="14" t="s">
        <v>22</v>
      </c>
      <c r="C223" s="15">
        <v>87</v>
      </c>
      <c r="D223" s="22" t="s">
        <v>28</v>
      </c>
      <c r="E223" s="16" t="s">
        <v>24</v>
      </c>
      <c r="F223" s="16" t="s">
        <v>25</v>
      </c>
      <c r="G223" s="16" t="s">
        <v>25</v>
      </c>
      <c r="H223" s="16">
        <v>2.26</v>
      </c>
      <c r="I223" s="16">
        <v>34.74</v>
      </c>
      <c r="J223" s="16">
        <v>24.9</v>
      </c>
      <c r="K223" s="16">
        <v>1.6</v>
      </c>
      <c r="M223" s="17" t="e">
        <f t="shared" si="9"/>
        <v>#DIV/0!</v>
      </c>
      <c r="N223" s="17">
        <f t="shared" si="10"/>
        <v>0.0907630522088353</v>
      </c>
      <c r="O223" s="16">
        <f t="shared" si="11"/>
        <v>1.4125</v>
      </c>
      <c r="P223" s="16">
        <v>11</v>
      </c>
      <c r="Q223" s="16">
        <v>3.15</v>
      </c>
      <c r="R223" s="16">
        <v>1.6</v>
      </c>
      <c r="T223" s="16">
        <v>63</v>
      </c>
      <c r="U223" s="25">
        <v>82</v>
      </c>
      <c r="V223" s="15">
        <v>0</v>
      </c>
    </row>
    <row r="224" spans="1:22">
      <c r="A224" s="13">
        <v>1418</v>
      </c>
      <c r="B224" s="14" t="s">
        <v>26</v>
      </c>
      <c r="C224" s="15">
        <v>33</v>
      </c>
      <c r="D224" s="15" t="s">
        <v>23</v>
      </c>
      <c r="E224" s="16" t="s">
        <v>24</v>
      </c>
      <c r="F224" s="16" t="s">
        <v>25</v>
      </c>
      <c r="G224" s="16" t="s">
        <v>25</v>
      </c>
      <c r="H224" s="16">
        <v>4.62</v>
      </c>
      <c r="I224" s="16">
        <v>35.32</v>
      </c>
      <c r="J224" s="16">
        <v>7.36</v>
      </c>
      <c r="K224" s="16">
        <v>0.71</v>
      </c>
      <c r="L224" s="16">
        <v>101</v>
      </c>
      <c r="M224" s="17">
        <f t="shared" si="9"/>
        <v>4.57425742574257</v>
      </c>
      <c r="N224" s="17">
        <f t="shared" si="10"/>
        <v>0.627717391304348</v>
      </c>
      <c r="O224" s="16">
        <f t="shared" si="11"/>
        <v>6.50704225352113</v>
      </c>
      <c r="P224" s="16">
        <v>13.1</v>
      </c>
      <c r="Q224" s="16">
        <v>3.84</v>
      </c>
      <c r="R224" s="16">
        <v>2</v>
      </c>
      <c r="S224" s="16">
        <v>8.56</v>
      </c>
      <c r="T224" s="16">
        <v>241</v>
      </c>
      <c r="U224" s="25">
        <v>49</v>
      </c>
      <c r="V224" s="15">
        <v>0</v>
      </c>
    </row>
    <row r="225" spans="1:22">
      <c r="A225" s="13">
        <v>1422</v>
      </c>
      <c r="B225" s="14" t="s">
        <v>26</v>
      </c>
      <c r="C225" s="15">
        <v>17</v>
      </c>
      <c r="D225" s="15" t="s">
        <v>27</v>
      </c>
      <c r="E225" s="16" t="s">
        <v>24</v>
      </c>
      <c r="F225" s="16" t="s">
        <v>25</v>
      </c>
      <c r="G225" s="16" t="s">
        <v>25</v>
      </c>
      <c r="H225" s="16">
        <v>9.05</v>
      </c>
      <c r="I225" s="16">
        <v>12.2</v>
      </c>
      <c r="J225" s="16">
        <v>2.79</v>
      </c>
      <c r="K225" s="16">
        <v>2.94</v>
      </c>
      <c r="M225" s="17" t="e">
        <f t="shared" si="9"/>
        <v>#DIV/0!</v>
      </c>
      <c r="N225" s="17">
        <f t="shared" si="10"/>
        <v>3.24372759856631</v>
      </c>
      <c r="O225" s="16">
        <f t="shared" si="11"/>
        <v>3.07823129251701</v>
      </c>
      <c r="P225" s="16">
        <v>13.6</v>
      </c>
      <c r="Q225" s="16">
        <v>3.54</v>
      </c>
      <c r="R225" s="16">
        <v>14</v>
      </c>
      <c r="S225" s="16">
        <v>39.48</v>
      </c>
      <c r="T225" s="16">
        <v>360</v>
      </c>
      <c r="U225" s="25">
        <v>21</v>
      </c>
      <c r="V225" s="15">
        <v>0</v>
      </c>
    </row>
    <row r="226" spans="1:22">
      <c r="A226" s="13">
        <v>1423</v>
      </c>
      <c r="B226" s="14" t="s">
        <v>26</v>
      </c>
      <c r="C226" s="15">
        <v>66</v>
      </c>
      <c r="D226" s="15" t="s">
        <v>27</v>
      </c>
      <c r="E226" s="16" t="s">
        <v>24</v>
      </c>
      <c r="F226" s="16" t="s">
        <v>25</v>
      </c>
      <c r="G226" s="16" t="s">
        <v>25</v>
      </c>
      <c r="H226" s="16">
        <v>20.45</v>
      </c>
      <c r="I226" s="16">
        <v>17.77</v>
      </c>
      <c r="J226" s="16">
        <v>14.22</v>
      </c>
      <c r="K226" s="16">
        <v>2.32</v>
      </c>
      <c r="L226" s="16">
        <v>93</v>
      </c>
      <c r="M226" s="17">
        <f t="shared" si="9"/>
        <v>21.989247311828</v>
      </c>
      <c r="N226" s="17">
        <f t="shared" si="10"/>
        <v>1.43811533052039</v>
      </c>
      <c r="O226" s="16">
        <f t="shared" si="11"/>
        <v>8.81465517241379</v>
      </c>
      <c r="P226" s="16">
        <v>13.9</v>
      </c>
      <c r="Q226" s="16">
        <v>6.03</v>
      </c>
      <c r="R226" s="16">
        <v>2.92</v>
      </c>
      <c r="S226" s="16">
        <v>25.1</v>
      </c>
      <c r="T226" s="16">
        <v>135</v>
      </c>
      <c r="U226" s="25">
        <v>26</v>
      </c>
      <c r="V226" s="15">
        <v>0</v>
      </c>
    </row>
    <row r="227" spans="1:22">
      <c r="A227" s="13">
        <v>1426</v>
      </c>
      <c r="B227" s="14" t="s">
        <v>22</v>
      </c>
      <c r="C227" s="15">
        <v>56</v>
      </c>
      <c r="D227" s="15" t="s">
        <v>30</v>
      </c>
      <c r="E227" s="16" t="s">
        <v>29</v>
      </c>
      <c r="F227" s="16" t="s">
        <v>29</v>
      </c>
      <c r="G227" s="16" t="s">
        <v>29</v>
      </c>
      <c r="H227" s="16">
        <v>88.77</v>
      </c>
      <c r="I227" s="16">
        <v>35.78</v>
      </c>
      <c r="J227" s="16">
        <v>16.72</v>
      </c>
      <c r="K227" s="16">
        <v>4.57</v>
      </c>
      <c r="L227" s="16">
        <v>61</v>
      </c>
      <c r="M227" s="17">
        <f t="shared" si="9"/>
        <v>145.524590163934</v>
      </c>
      <c r="N227" s="17">
        <f t="shared" si="10"/>
        <v>5.30921052631579</v>
      </c>
      <c r="O227" s="16">
        <f t="shared" si="11"/>
        <v>19.4245076586433</v>
      </c>
      <c r="P227" s="16">
        <v>15.2</v>
      </c>
      <c r="Q227" s="16">
        <v>4.43</v>
      </c>
      <c r="R227" s="16">
        <v>7.12</v>
      </c>
      <c r="S227" s="16">
        <v>28.46</v>
      </c>
      <c r="T227" s="16">
        <v>20</v>
      </c>
      <c r="U227" s="25">
        <v>25</v>
      </c>
      <c r="V227" s="15">
        <v>0</v>
      </c>
    </row>
    <row r="228" spans="1:22">
      <c r="A228" s="13">
        <v>1429</v>
      </c>
      <c r="B228" s="14" t="s">
        <v>26</v>
      </c>
      <c r="C228" s="15">
        <v>41</v>
      </c>
      <c r="D228" s="15" t="s">
        <v>23</v>
      </c>
      <c r="E228" s="16" t="s">
        <v>24</v>
      </c>
      <c r="F228" s="16" t="s">
        <v>25</v>
      </c>
      <c r="G228" s="16" t="s">
        <v>25</v>
      </c>
      <c r="H228" s="16">
        <v>15.88</v>
      </c>
      <c r="I228" s="16">
        <v>14.36</v>
      </c>
      <c r="J228" s="16">
        <v>6.01</v>
      </c>
      <c r="K228" s="16">
        <v>1.19</v>
      </c>
      <c r="L228" s="16">
        <v>89</v>
      </c>
      <c r="M228" s="17">
        <f t="shared" si="9"/>
        <v>17.8426966292135</v>
      </c>
      <c r="N228" s="17">
        <f t="shared" si="10"/>
        <v>2.64226289517471</v>
      </c>
      <c r="O228" s="16">
        <f t="shared" si="11"/>
        <v>13.3445378151261</v>
      </c>
      <c r="P228" s="16">
        <v>14.5</v>
      </c>
      <c r="Q228" s="16">
        <v>5.33</v>
      </c>
      <c r="R228" s="16">
        <v>3.03</v>
      </c>
      <c r="S228" s="16">
        <v>15.35</v>
      </c>
      <c r="T228" s="16">
        <v>239</v>
      </c>
      <c r="U228" s="25">
        <v>24</v>
      </c>
      <c r="V228" s="15">
        <v>0</v>
      </c>
    </row>
    <row r="229" spans="1:22">
      <c r="A229" s="13">
        <v>1430</v>
      </c>
      <c r="B229" s="14" t="s">
        <v>26</v>
      </c>
      <c r="C229" s="15">
        <v>61</v>
      </c>
      <c r="D229" s="15" t="s">
        <v>23</v>
      </c>
      <c r="E229" s="16" t="s">
        <v>29</v>
      </c>
      <c r="F229" s="16" t="s">
        <v>29</v>
      </c>
      <c r="G229" s="16" t="s">
        <v>29</v>
      </c>
      <c r="H229" s="16">
        <v>14.74</v>
      </c>
      <c r="I229" s="16">
        <v>19.58</v>
      </c>
      <c r="J229" s="16">
        <v>23.29</v>
      </c>
      <c r="K229" s="16">
        <v>2.31</v>
      </c>
      <c r="M229" s="17" t="e">
        <f t="shared" si="9"/>
        <v>#DIV/0!</v>
      </c>
      <c r="N229" s="17">
        <f t="shared" si="10"/>
        <v>0.632889652211249</v>
      </c>
      <c r="O229" s="16">
        <f t="shared" si="11"/>
        <v>6.38095238095238</v>
      </c>
      <c r="P229" s="16">
        <v>15</v>
      </c>
      <c r="Q229" s="16">
        <v>3.62</v>
      </c>
      <c r="R229" s="16">
        <v>19.21</v>
      </c>
      <c r="T229" s="16">
        <v>33</v>
      </c>
      <c r="U229" s="25">
        <v>14</v>
      </c>
      <c r="V229" s="15">
        <v>1</v>
      </c>
    </row>
    <row r="230" spans="1:22">
      <c r="A230" s="13">
        <v>1435</v>
      </c>
      <c r="B230" s="14" t="s">
        <v>26</v>
      </c>
      <c r="C230" s="15">
        <v>47</v>
      </c>
      <c r="D230" s="15" t="s">
        <v>23</v>
      </c>
      <c r="E230" s="16" t="s">
        <v>24</v>
      </c>
      <c r="F230" s="16" t="s">
        <v>25</v>
      </c>
      <c r="G230" s="16" t="s">
        <v>25</v>
      </c>
      <c r="H230" s="16">
        <v>3.98</v>
      </c>
      <c r="I230" s="16">
        <v>9.15</v>
      </c>
      <c r="J230" s="16">
        <v>2.67</v>
      </c>
      <c r="K230" s="16">
        <v>126</v>
      </c>
      <c r="L230" s="16">
        <v>90</v>
      </c>
      <c r="M230" s="17">
        <f t="shared" si="9"/>
        <v>4.42222222222222</v>
      </c>
      <c r="N230" s="17">
        <f t="shared" si="10"/>
        <v>1.49063670411985</v>
      </c>
      <c r="O230" s="16">
        <f t="shared" si="11"/>
        <v>0.0315873015873016</v>
      </c>
      <c r="P230" s="16">
        <v>15.1</v>
      </c>
      <c r="Q230" s="16">
        <v>5.71</v>
      </c>
      <c r="R230" s="16">
        <v>0.88</v>
      </c>
      <c r="S230" s="16">
        <v>5.41</v>
      </c>
      <c r="T230" s="16">
        <v>191</v>
      </c>
      <c r="U230" s="25">
        <v>12</v>
      </c>
      <c r="V230" s="15">
        <v>0</v>
      </c>
    </row>
    <row r="231" spans="1:22">
      <c r="A231" s="13">
        <v>1439</v>
      </c>
      <c r="B231" s="14" t="s">
        <v>26</v>
      </c>
      <c r="C231" s="15">
        <v>65</v>
      </c>
      <c r="D231" s="15" t="s">
        <v>27</v>
      </c>
      <c r="E231" s="16" t="s">
        <v>24</v>
      </c>
      <c r="F231" s="16" t="s">
        <v>25</v>
      </c>
      <c r="G231" s="16" t="s">
        <v>25</v>
      </c>
      <c r="H231" s="16">
        <v>19.18</v>
      </c>
      <c r="I231" s="16">
        <v>17.85</v>
      </c>
      <c r="J231" s="16">
        <v>20.28</v>
      </c>
      <c r="K231" s="16">
        <v>1.28</v>
      </c>
      <c r="L231" s="16">
        <v>79</v>
      </c>
      <c r="M231" s="17">
        <f t="shared" si="9"/>
        <v>24.2784810126582</v>
      </c>
      <c r="N231" s="17">
        <f t="shared" si="10"/>
        <v>0.945759368836292</v>
      </c>
      <c r="O231" s="16">
        <f t="shared" si="11"/>
        <v>14.984375</v>
      </c>
      <c r="P231" s="16">
        <v>14.1</v>
      </c>
      <c r="Q231" s="16">
        <v>4.83</v>
      </c>
      <c r="R231" s="16">
        <v>4.77</v>
      </c>
      <c r="S231" s="16">
        <v>14.84</v>
      </c>
      <c r="T231" s="16">
        <v>290</v>
      </c>
      <c r="U231" s="25">
        <v>59</v>
      </c>
      <c r="V231" s="15">
        <v>0</v>
      </c>
    </row>
    <row r="232" spans="1:22">
      <c r="A232" s="13">
        <v>1440</v>
      </c>
      <c r="B232" s="14" t="s">
        <v>22</v>
      </c>
      <c r="C232" s="15">
        <v>30</v>
      </c>
      <c r="D232" s="15" t="s">
        <v>34</v>
      </c>
      <c r="E232" s="16" t="s">
        <v>24</v>
      </c>
      <c r="F232" s="16" t="s">
        <v>25</v>
      </c>
      <c r="G232" s="16" t="s">
        <v>25</v>
      </c>
      <c r="H232" s="16">
        <v>2.64</v>
      </c>
      <c r="I232" s="16">
        <v>43.93</v>
      </c>
      <c r="J232" s="16">
        <v>10.07</v>
      </c>
      <c r="K232" s="16">
        <v>1.74</v>
      </c>
      <c r="L232" s="16">
        <v>126</v>
      </c>
      <c r="M232" s="17">
        <f t="shared" si="9"/>
        <v>2.0952380952381</v>
      </c>
      <c r="N232" s="17">
        <f t="shared" si="10"/>
        <v>0.262164846077458</v>
      </c>
      <c r="O232" s="16">
        <f t="shared" si="11"/>
        <v>1.51724137931034</v>
      </c>
      <c r="P232" s="16">
        <v>14</v>
      </c>
      <c r="Q232" s="16">
        <v>2.91</v>
      </c>
      <c r="R232" s="16">
        <v>1.99</v>
      </c>
      <c r="S232" s="16">
        <v>8.29</v>
      </c>
      <c r="T232" s="16">
        <v>173</v>
      </c>
      <c r="U232" s="25">
        <v>17</v>
      </c>
      <c r="V232" s="15">
        <v>0</v>
      </c>
    </row>
    <row r="233" spans="1:22">
      <c r="A233" s="13">
        <v>1442</v>
      </c>
      <c r="B233" s="14" t="s">
        <v>26</v>
      </c>
      <c r="C233" s="15">
        <v>66</v>
      </c>
      <c r="D233" s="15" t="s">
        <v>23</v>
      </c>
      <c r="E233" s="16" t="s">
        <v>24</v>
      </c>
      <c r="F233" s="16" t="s">
        <v>25</v>
      </c>
      <c r="G233" s="16" t="s">
        <v>25</v>
      </c>
      <c r="H233" s="16">
        <v>2.07</v>
      </c>
      <c r="I233" s="16">
        <v>25.73</v>
      </c>
      <c r="J233" s="16">
        <v>10.16</v>
      </c>
      <c r="K233" s="16">
        <v>0.47</v>
      </c>
      <c r="M233" s="17" t="e">
        <f t="shared" si="9"/>
        <v>#DIV/0!</v>
      </c>
      <c r="N233" s="17">
        <f t="shared" si="10"/>
        <v>0.203740157480315</v>
      </c>
      <c r="O233" s="16">
        <f t="shared" si="11"/>
        <v>4.40425531914894</v>
      </c>
      <c r="P233" s="16">
        <v>13.8</v>
      </c>
      <c r="Q233" s="16">
        <v>3.09</v>
      </c>
      <c r="R233" s="16">
        <v>0.58</v>
      </c>
      <c r="T233" s="16">
        <v>138</v>
      </c>
      <c r="U233" s="25">
        <v>43</v>
      </c>
      <c r="V233" s="15">
        <v>0</v>
      </c>
    </row>
    <row r="234" spans="1:22">
      <c r="A234" s="13">
        <v>1443</v>
      </c>
      <c r="B234" s="14" t="s">
        <v>26</v>
      </c>
      <c r="C234" s="15">
        <v>66</v>
      </c>
      <c r="D234" s="15" t="s">
        <v>23</v>
      </c>
      <c r="E234" s="16" t="s">
        <v>24</v>
      </c>
      <c r="F234" s="16" t="s">
        <v>25</v>
      </c>
      <c r="G234" s="16" t="s">
        <v>25</v>
      </c>
      <c r="H234" s="16">
        <v>3.75</v>
      </c>
      <c r="I234" s="16">
        <v>33.68</v>
      </c>
      <c r="J234" s="16">
        <v>7.21</v>
      </c>
      <c r="K234" s="16">
        <v>3.33</v>
      </c>
      <c r="M234" s="17" t="e">
        <f t="shared" si="9"/>
        <v>#DIV/0!</v>
      </c>
      <c r="N234" s="17">
        <f t="shared" si="10"/>
        <v>0.520110957004161</v>
      </c>
      <c r="O234" s="16">
        <f t="shared" si="11"/>
        <v>1.12612612612613</v>
      </c>
      <c r="P234" s="16">
        <v>11.9</v>
      </c>
      <c r="Q234" s="16">
        <v>6.99</v>
      </c>
      <c r="R234" s="16">
        <v>2.93</v>
      </c>
      <c r="S234" s="16">
        <v>10.26</v>
      </c>
      <c r="T234" s="16">
        <v>149</v>
      </c>
      <c r="U234" s="25">
        <v>43</v>
      </c>
      <c r="V234" s="15">
        <v>0</v>
      </c>
    </row>
    <row r="235" spans="1:22">
      <c r="A235" s="13">
        <v>1446</v>
      </c>
      <c r="B235" s="14" t="s">
        <v>26</v>
      </c>
      <c r="C235" s="15">
        <v>64</v>
      </c>
      <c r="D235" s="15" t="s">
        <v>23</v>
      </c>
      <c r="E235" s="16" t="s">
        <v>24</v>
      </c>
      <c r="F235" s="16" t="s">
        <v>25</v>
      </c>
      <c r="G235" s="16" t="s">
        <v>25</v>
      </c>
      <c r="H235" s="16">
        <v>1.48</v>
      </c>
      <c r="I235" s="16">
        <v>27.02</v>
      </c>
      <c r="J235" s="16">
        <v>14.24</v>
      </c>
      <c r="K235" s="16">
        <v>1.57</v>
      </c>
      <c r="M235" s="17" t="e">
        <f t="shared" si="9"/>
        <v>#DIV/0!</v>
      </c>
      <c r="N235" s="17">
        <f t="shared" si="10"/>
        <v>0.103932584269663</v>
      </c>
      <c r="O235" s="16">
        <f t="shared" si="11"/>
        <v>0.942675159235669</v>
      </c>
      <c r="P235" s="16">
        <v>21.5</v>
      </c>
      <c r="Q235" s="16">
        <v>3.49</v>
      </c>
      <c r="R235" s="16">
        <v>2.45</v>
      </c>
      <c r="T235" s="16">
        <v>102</v>
      </c>
      <c r="U235" s="25">
        <v>31</v>
      </c>
      <c r="V235" s="15">
        <v>0</v>
      </c>
    </row>
    <row r="236" spans="1:22">
      <c r="A236" s="13">
        <v>1447</v>
      </c>
      <c r="B236" s="14" t="s">
        <v>26</v>
      </c>
      <c r="C236" s="15">
        <v>64</v>
      </c>
      <c r="D236" s="15" t="s">
        <v>23</v>
      </c>
      <c r="E236" s="16" t="s">
        <v>24</v>
      </c>
      <c r="F236" s="16" t="s">
        <v>31</v>
      </c>
      <c r="G236" s="16" t="s">
        <v>33</v>
      </c>
      <c r="H236" s="16">
        <v>2.27</v>
      </c>
      <c r="I236" s="16">
        <v>27.86</v>
      </c>
      <c r="J236" s="16">
        <v>14.52</v>
      </c>
      <c r="K236" s="16">
        <v>1.57</v>
      </c>
      <c r="L236" s="16">
        <v>101</v>
      </c>
      <c r="M236" s="17">
        <f t="shared" si="9"/>
        <v>2.24752475247525</v>
      </c>
      <c r="N236" s="17">
        <f t="shared" si="10"/>
        <v>0.15633608815427</v>
      </c>
      <c r="O236" s="16">
        <f t="shared" si="11"/>
        <v>1.44585987261146</v>
      </c>
      <c r="P236" s="16">
        <v>17.5</v>
      </c>
      <c r="Q236" s="16">
        <v>4.39</v>
      </c>
      <c r="R236" s="16">
        <v>2.66</v>
      </c>
      <c r="S236" s="16">
        <v>8.69</v>
      </c>
      <c r="T236" s="16">
        <v>178</v>
      </c>
      <c r="U236" s="25">
        <v>31</v>
      </c>
      <c r="V236" s="15">
        <v>0</v>
      </c>
    </row>
    <row r="237" spans="1:22">
      <c r="A237" s="13">
        <v>1452</v>
      </c>
      <c r="B237" s="14" t="s">
        <v>26</v>
      </c>
      <c r="C237" s="15">
        <v>86</v>
      </c>
      <c r="D237" s="15" t="s">
        <v>23</v>
      </c>
      <c r="E237" s="16" t="s">
        <v>24</v>
      </c>
      <c r="F237" s="16" t="s">
        <v>25</v>
      </c>
      <c r="G237" s="16" t="s">
        <v>25</v>
      </c>
      <c r="H237" s="16">
        <v>4.18</v>
      </c>
      <c r="I237" s="16">
        <v>10.64</v>
      </c>
      <c r="J237" s="16">
        <v>9.5</v>
      </c>
      <c r="K237" s="16">
        <v>0.66</v>
      </c>
      <c r="L237" s="16">
        <v>84</v>
      </c>
      <c r="M237" s="17">
        <f t="shared" si="9"/>
        <v>4.97619047619048</v>
      </c>
      <c r="N237" s="17">
        <f t="shared" si="10"/>
        <v>0.44</v>
      </c>
      <c r="O237" s="16">
        <f t="shared" si="11"/>
        <v>6.33333333333333</v>
      </c>
      <c r="P237" s="16">
        <v>13.4</v>
      </c>
      <c r="Q237" s="16">
        <v>4.33</v>
      </c>
      <c r="R237" s="16">
        <v>1.3</v>
      </c>
      <c r="S237" s="16">
        <v>4.38</v>
      </c>
      <c r="T237" s="16">
        <v>272</v>
      </c>
      <c r="U237" s="25">
        <v>28</v>
      </c>
      <c r="V237" s="15">
        <v>0</v>
      </c>
    </row>
    <row r="238" spans="1:22">
      <c r="A238" s="13">
        <v>1454</v>
      </c>
      <c r="B238" s="14" t="s">
        <v>26</v>
      </c>
      <c r="C238" s="15">
        <v>86</v>
      </c>
      <c r="D238" s="15" t="s">
        <v>23</v>
      </c>
      <c r="E238" s="16" t="s">
        <v>24</v>
      </c>
      <c r="F238" s="16" t="s">
        <v>25</v>
      </c>
      <c r="G238" s="16" t="s">
        <v>25</v>
      </c>
      <c r="H238" s="16">
        <v>4.2</v>
      </c>
      <c r="I238" s="16">
        <v>19.32</v>
      </c>
      <c r="J238" s="16">
        <v>18.37</v>
      </c>
      <c r="K238" s="16">
        <v>1.38</v>
      </c>
      <c r="L238" s="16">
        <v>79</v>
      </c>
      <c r="M238" s="17">
        <f t="shared" si="9"/>
        <v>5.31645569620253</v>
      </c>
      <c r="N238" s="17">
        <f t="shared" si="10"/>
        <v>0.228633641807295</v>
      </c>
      <c r="O238" s="16">
        <f t="shared" si="11"/>
        <v>3.04347826086957</v>
      </c>
      <c r="P238" s="16">
        <v>15.2</v>
      </c>
      <c r="Q238" s="16">
        <v>3.44</v>
      </c>
      <c r="R238" s="16">
        <v>5.64</v>
      </c>
      <c r="S238" s="16">
        <v>22.84</v>
      </c>
      <c r="T238" s="16">
        <v>291</v>
      </c>
      <c r="U238" s="25">
        <v>28</v>
      </c>
      <c r="V238" s="15">
        <v>0</v>
      </c>
    </row>
    <row r="239" spans="1:22">
      <c r="A239" s="13">
        <v>1455</v>
      </c>
      <c r="B239" s="14" t="s">
        <v>26</v>
      </c>
      <c r="C239" s="15">
        <v>86</v>
      </c>
      <c r="D239" s="15" t="s">
        <v>23</v>
      </c>
      <c r="E239" s="16" t="s">
        <v>24</v>
      </c>
      <c r="F239" s="16" t="s">
        <v>25</v>
      </c>
      <c r="G239" s="16" t="s">
        <v>25</v>
      </c>
      <c r="H239" s="16">
        <v>3.67</v>
      </c>
      <c r="I239" s="16">
        <v>18.17</v>
      </c>
      <c r="J239" s="16">
        <v>24.88</v>
      </c>
      <c r="K239" s="16">
        <v>1.12</v>
      </c>
      <c r="L239" s="16">
        <v>92</v>
      </c>
      <c r="M239" s="17">
        <f t="shared" si="9"/>
        <v>3.98913043478261</v>
      </c>
      <c r="N239" s="17">
        <f t="shared" si="10"/>
        <v>0.147508038585209</v>
      </c>
      <c r="O239" s="16">
        <f t="shared" si="11"/>
        <v>3.27678571428571</v>
      </c>
      <c r="P239" s="16">
        <v>15.7</v>
      </c>
      <c r="Q239" s="16">
        <v>5.26</v>
      </c>
      <c r="R239" s="16">
        <v>2.4</v>
      </c>
      <c r="S239" s="16">
        <v>9.68</v>
      </c>
      <c r="T239" s="16">
        <v>347</v>
      </c>
      <c r="U239" s="25">
        <v>28</v>
      </c>
      <c r="V239" s="15">
        <v>0</v>
      </c>
    </row>
    <row r="240" spans="1:22">
      <c r="A240" s="13">
        <v>1459</v>
      </c>
      <c r="B240" s="14" t="s">
        <v>26</v>
      </c>
      <c r="C240" s="15">
        <v>86</v>
      </c>
      <c r="D240" s="15" t="s">
        <v>23</v>
      </c>
      <c r="E240" s="16" t="s">
        <v>24</v>
      </c>
      <c r="F240" s="16" t="s">
        <v>25</v>
      </c>
      <c r="G240" s="16" t="s">
        <v>25</v>
      </c>
      <c r="H240" s="16">
        <v>25.29</v>
      </c>
      <c r="I240" s="16">
        <v>11.66</v>
      </c>
      <c r="J240" s="16">
        <v>8.59</v>
      </c>
      <c r="K240" s="16">
        <v>1.94</v>
      </c>
      <c r="L240" s="16">
        <v>75</v>
      </c>
      <c r="M240" s="17">
        <f t="shared" si="9"/>
        <v>33.72</v>
      </c>
      <c r="N240" s="17">
        <f t="shared" si="10"/>
        <v>2.94412107101281</v>
      </c>
      <c r="O240" s="16">
        <f t="shared" si="11"/>
        <v>13.0360824742268</v>
      </c>
      <c r="P240" s="16">
        <v>14.5</v>
      </c>
      <c r="Q240" s="16">
        <v>4.44</v>
      </c>
      <c r="R240" s="16">
        <v>2.11</v>
      </c>
      <c r="S240" s="16">
        <v>8.52</v>
      </c>
      <c r="T240" s="16">
        <v>225</v>
      </c>
      <c r="U240" s="25">
        <v>26</v>
      </c>
      <c r="V240" s="15">
        <v>0</v>
      </c>
    </row>
    <row r="241" spans="1:22">
      <c r="A241" s="13">
        <v>1460</v>
      </c>
      <c r="B241" s="14" t="s">
        <v>22</v>
      </c>
      <c r="C241" s="15">
        <v>53</v>
      </c>
      <c r="D241" s="15" t="s">
        <v>23</v>
      </c>
      <c r="E241" s="16" t="s">
        <v>24</v>
      </c>
      <c r="F241" s="16" t="s">
        <v>25</v>
      </c>
      <c r="G241" s="16" t="s">
        <v>25</v>
      </c>
      <c r="H241" s="16">
        <v>9.16</v>
      </c>
      <c r="I241" s="16">
        <v>18.1</v>
      </c>
      <c r="J241" s="16">
        <v>23.11</v>
      </c>
      <c r="K241" s="16">
        <v>1.83</v>
      </c>
      <c r="M241" s="17" t="e">
        <f t="shared" si="9"/>
        <v>#DIV/0!</v>
      </c>
      <c r="N241" s="17">
        <f t="shared" si="10"/>
        <v>0.396365209865859</v>
      </c>
      <c r="O241" s="16">
        <f t="shared" si="11"/>
        <v>5.00546448087432</v>
      </c>
      <c r="P241" s="16">
        <v>10.6</v>
      </c>
      <c r="Q241" s="16">
        <v>4.58</v>
      </c>
      <c r="R241" s="16">
        <v>6.8</v>
      </c>
      <c r="S241" s="16">
        <v>29.27</v>
      </c>
      <c r="T241" s="16">
        <v>319</v>
      </c>
      <c r="U241" s="25">
        <v>16</v>
      </c>
      <c r="V241" s="15">
        <v>0</v>
      </c>
    </row>
    <row r="242" spans="1:22">
      <c r="A242" s="13">
        <v>1461</v>
      </c>
      <c r="B242" s="14" t="s">
        <v>26</v>
      </c>
      <c r="C242" s="15">
        <v>40</v>
      </c>
      <c r="D242" s="15" t="s">
        <v>27</v>
      </c>
      <c r="E242" s="16" t="s">
        <v>24</v>
      </c>
      <c r="F242" s="16" t="s">
        <v>25</v>
      </c>
      <c r="G242" s="16" t="s">
        <v>25</v>
      </c>
      <c r="H242" s="16">
        <v>29.47</v>
      </c>
      <c r="I242" s="16">
        <v>11.8</v>
      </c>
      <c r="J242" s="16">
        <v>7.06</v>
      </c>
      <c r="K242" s="16">
        <v>2.93</v>
      </c>
      <c r="L242" s="16">
        <v>75</v>
      </c>
      <c r="M242" s="17">
        <f t="shared" si="9"/>
        <v>39.2933333333333</v>
      </c>
      <c r="N242" s="17">
        <f t="shared" si="10"/>
        <v>4.1742209631728</v>
      </c>
      <c r="O242" s="16">
        <f t="shared" si="11"/>
        <v>10.0580204778157</v>
      </c>
      <c r="P242" s="16">
        <v>14</v>
      </c>
      <c r="Q242" s="16">
        <v>4.6</v>
      </c>
      <c r="R242" s="16">
        <v>4.15</v>
      </c>
      <c r="S242" s="16">
        <v>17.68</v>
      </c>
      <c r="T242" s="16">
        <v>56</v>
      </c>
      <c r="U242" s="25"/>
      <c r="V242" s="15">
        <v>0</v>
      </c>
    </row>
    <row r="243" spans="1:22">
      <c r="A243" s="13">
        <v>1462</v>
      </c>
      <c r="B243" s="14" t="s">
        <v>26</v>
      </c>
      <c r="C243" s="15">
        <v>34</v>
      </c>
      <c r="D243" s="15" t="s">
        <v>27</v>
      </c>
      <c r="E243" s="16" t="s">
        <v>24</v>
      </c>
      <c r="F243" s="16" t="s">
        <v>25</v>
      </c>
      <c r="G243" s="16" t="s">
        <v>25</v>
      </c>
      <c r="H243" s="16">
        <v>17.79</v>
      </c>
      <c r="I243" s="16">
        <v>9.87</v>
      </c>
      <c r="J243" s="16">
        <v>9.73</v>
      </c>
      <c r="K243" s="16">
        <v>2.28</v>
      </c>
      <c r="L243" s="16">
        <v>120</v>
      </c>
      <c r="M243" s="17">
        <f t="shared" si="9"/>
        <v>14.825</v>
      </c>
      <c r="N243" s="17">
        <f t="shared" si="10"/>
        <v>1.82836587872559</v>
      </c>
      <c r="O243" s="16">
        <f t="shared" si="11"/>
        <v>7.80263157894737</v>
      </c>
      <c r="P243" s="16">
        <v>13.5</v>
      </c>
      <c r="Q243" s="16">
        <v>4.79</v>
      </c>
      <c r="R243" s="16">
        <v>9.74</v>
      </c>
      <c r="S243" s="16">
        <v>35.99</v>
      </c>
      <c r="T243" s="16">
        <v>194</v>
      </c>
      <c r="U243" s="25">
        <v>37</v>
      </c>
      <c r="V243" s="15">
        <v>0</v>
      </c>
    </row>
    <row r="244" spans="1:22">
      <c r="A244" s="13">
        <v>1463</v>
      </c>
      <c r="B244" s="14" t="s">
        <v>26</v>
      </c>
      <c r="C244" s="15">
        <v>34</v>
      </c>
      <c r="D244" s="15" t="s">
        <v>27</v>
      </c>
      <c r="E244" s="16" t="s">
        <v>24</v>
      </c>
      <c r="F244" s="16" t="s">
        <v>25</v>
      </c>
      <c r="G244" s="16" t="s">
        <v>25</v>
      </c>
      <c r="H244" s="16">
        <v>14.31</v>
      </c>
      <c r="I244" s="16">
        <v>23.74</v>
      </c>
      <c r="J244" s="16">
        <v>11.84</v>
      </c>
      <c r="K244" s="16">
        <v>3.73</v>
      </c>
      <c r="L244" s="16">
        <v>81</v>
      </c>
      <c r="M244" s="17">
        <f t="shared" si="9"/>
        <v>17.6666666666667</v>
      </c>
      <c r="N244" s="17">
        <f t="shared" si="10"/>
        <v>1.20861486486486</v>
      </c>
      <c r="O244" s="16">
        <f t="shared" si="11"/>
        <v>3.83646112600536</v>
      </c>
      <c r="P244" s="16">
        <v>13.4</v>
      </c>
      <c r="Q244" s="16">
        <v>5.17</v>
      </c>
      <c r="R244" s="16">
        <v>18.93</v>
      </c>
      <c r="S244" s="16">
        <v>100.83</v>
      </c>
      <c r="T244" s="16">
        <v>128</v>
      </c>
      <c r="U244" s="25">
        <v>37</v>
      </c>
      <c r="V244" s="15">
        <v>0</v>
      </c>
    </row>
    <row r="245" spans="1:22">
      <c r="A245" s="13">
        <v>1467</v>
      </c>
      <c r="B245" s="14" t="s">
        <v>26</v>
      </c>
      <c r="C245" s="15">
        <v>67</v>
      </c>
      <c r="D245" s="15" t="s">
        <v>23</v>
      </c>
      <c r="E245" s="16" t="s">
        <v>24</v>
      </c>
      <c r="F245" s="16" t="s">
        <v>25</v>
      </c>
      <c r="G245" s="16" t="s">
        <v>25</v>
      </c>
      <c r="H245" s="16">
        <v>3.01</v>
      </c>
      <c r="I245" s="16">
        <v>14.65</v>
      </c>
      <c r="J245" s="16">
        <v>5.12</v>
      </c>
      <c r="K245" s="16">
        <v>1.19</v>
      </c>
      <c r="L245" s="16">
        <v>94</v>
      </c>
      <c r="M245" s="17">
        <f t="shared" si="9"/>
        <v>3.20212765957447</v>
      </c>
      <c r="N245" s="17">
        <f t="shared" si="10"/>
        <v>0.587890625</v>
      </c>
      <c r="O245" s="16">
        <f t="shared" si="11"/>
        <v>2.52941176470588</v>
      </c>
      <c r="P245" s="16">
        <v>14.2</v>
      </c>
      <c r="Q245" s="16">
        <v>4.14</v>
      </c>
      <c r="R245" s="16">
        <v>1.41</v>
      </c>
      <c r="S245" s="16">
        <v>3.7</v>
      </c>
      <c r="T245" s="16">
        <v>460</v>
      </c>
      <c r="U245" s="25">
        <v>42</v>
      </c>
      <c r="V245" s="15">
        <v>0</v>
      </c>
    </row>
    <row r="246" spans="1:22">
      <c r="A246" s="13">
        <v>1468</v>
      </c>
      <c r="B246" s="14" t="s">
        <v>22</v>
      </c>
      <c r="C246" s="15">
        <v>61</v>
      </c>
      <c r="D246" s="15" t="s">
        <v>23</v>
      </c>
      <c r="E246" s="16" t="s">
        <v>24</v>
      </c>
      <c r="F246" s="16" t="s">
        <v>25</v>
      </c>
      <c r="G246" s="16" t="s">
        <v>25</v>
      </c>
      <c r="H246" s="16">
        <v>10.29</v>
      </c>
      <c r="I246" s="16">
        <v>15.34</v>
      </c>
      <c r="J246" s="16">
        <v>23.81</v>
      </c>
      <c r="K246" s="16">
        <v>0.85</v>
      </c>
      <c r="M246" s="17" t="e">
        <f t="shared" si="9"/>
        <v>#DIV/0!</v>
      </c>
      <c r="N246" s="17">
        <f t="shared" si="10"/>
        <v>0.432171356572869</v>
      </c>
      <c r="O246" s="16">
        <f t="shared" si="11"/>
        <v>12.1058823529412</v>
      </c>
      <c r="P246" s="16">
        <v>10.6</v>
      </c>
      <c r="Q246" s="16">
        <v>3.67</v>
      </c>
      <c r="R246" s="16">
        <v>0.72</v>
      </c>
      <c r="S246" s="16">
        <v>3.2</v>
      </c>
      <c r="T246" s="16">
        <v>312</v>
      </c>
      <c r="U246" s="25">
        <v>21</v>
      </c>
      <c r="V246" s="15">
        <v>0</v>
      </c>
    </row>
    <row r="247" spans="1:22">
      <c r="A247" s="13">
        <v>1469</v>
      </c>
      <c r="B247" s="14" t="s">
        <v>22</v>
      </c>
      <c r="C247" s="15">
        <v>71</v>
      </c>
      <c r="D247" s="22" t="s">
        <v>28</v>
      </c>
      <c r="E247" s="16" t="s">
        <v>24</v>
      </c>
      <c r="F247" s="16" t="s">
        <v>25</v>
      </c>
      <c r="G247" s="16" t="s">
        <v>25</v>
      </c>
      <c r="H247" s="16">
        <v>5.01</v>
      </c>
      <c r="I247" s="16">
        <v>41.27</v>
      </c>
      <c r="J247" s="16">
        <v>9.52</v>
      </c>
      <c r="K247" s="16">
        <v>0.51</v>
      </c>
      <c r="L247" s="16">
        <v>91</v>
      </c>
      <c r="M247" s="17">
        <f t="shared" si="9"/>
        <v>5.50549450549451</v>
      </c>
      <c r="N247" s="17">
        <f t="shared" si="10"/>
        <v>0.526260504201681</v>
      </c>
      <c r="O247" s="16">
        <f t="shared" si="11"/>
        <v>9.8235294117647</v>
      </c>
      <c r="P247" s="16">
        <v>14</v>
      </c>
      <c r="Q247" s="16">
        <v>2.98</v>
      </c>
      <c r="R247" s="16">
        <v>1.39</v>
      </c>
      <c r="S247" s="16">
        <v>4.17</v>
      </c>
      <c r="T247" s="16">
        <v>211</v>
      </c>
      <c r="U247" s="25">
        <v>34</v>
      </c>
      <c r="V247" s="15">
        <v>1</v>
      </c>
    </row>
    <row r="248" spans="1:22">
      <c r="A248" s="13">
        <v>1470</v>
      </c>
      <c r="B248" s="14" t="s">
        <v>22</v>
      </c>
      <c r="C248" s="15">
        <v>71</v>
      </c>
      <c r="D248" s="22" t="s">
        <v>28</v>
      </c>
      <c r="E248" s="16" t="s">
        <v>24</v>
      </c>
      <c r="F248" s="16" t="s">
        <v>25</v>
      </c>
      <c r="G248" s="16" t="s">
        <v>25</v>
      </c>
      <c r="H248" s="16">
        <v>10.45</v>
      </c>
      <c r="I248" s="16">
        <v>40.55</v>
      </c>
      <c r="J248" s="16">
        <v>12.61</v>
      </c>
      <c r="K248" s="16">
        <v>1.98</v>
      </c>
      <c r="M248" s="17" t="e">
        <f t="shared" si="9"/>
        <v>#DIV/0!</v>
      </c>
      <c r="N248" s="17">
        <f t="shared" si="10"/>
        <v>0.828707375099128</v>
      </c>
      <c r="O248" s="16">
        <f t="shared" si="11"/>
        <v>5.27777777777778</v>
      </c>
      <c r="P248" s="16">
        <v>11.4</v>
      </c>
      <c r="Q248" s="16">
        <v>3.61</v>
      </c>
      <c r="T248" s="16">
        <v>120</v>
      </c>
      <c r="U248" s="25">
        <v>34</v>
      </c>
      <c r="V248" s="15">
        <v>1</v>
      </c>
    </row>
    <row r="249" spans="1:22">
      <c r="A249" s="13">
        <v>1471</v>
      </c>
      <c r="B249" s="14" t="s">
        <v>22</v>
      </c>
      <c r="C249" s="15">
        <v>71</v>
      </c>
      <c r="D249" s="22" t="s">
        <v>28</v>
      </c>
      <c r="E249" s="16" t="s">
        <v>24</v>
      </c>
      <c r="F249" s="16" t="s">
        <v>25</v>
      </c>
      <c r="G249" s="16" t="s">
        <v>25</v>
      </c>
      <c r="H249" s="16">
        <v>7.41</v>
      </c>
      <c r="I249" s="16">
        <v>42.64</v>
      </c>
      <c r="J249" s="16">
        <v>9.29</v>
      </c>
      <c r="K249" s="16">
        <v>0.66</v>
      </c>
      <c r="M249" s="17" t="e">
        <f t="shared" si="9"/>
        <v>#DIV/0!</v>
      </c>
      <c r="N249" s="17">
        <f t="shared" si="10"/>
        <v>0.797631862217438</v>
      </c>
      <c r="O249" s="16">
        <f t="shared" si="11"/>
        <v>11.2272727272727</v>
      </c>
      <c r="P249" s="16">
        <v>10.6</v>
      </c>
      <c r="Q249" s="16">
        <v>5.3</v>
      </c>
      <c r="R249" s="16">
        <v>0.79</v>
      </c>
      <c r="S249" s="16">
        <v>3.25</v>
      </c>
      <c r="T249" s="16">
        <v>111</v>
      </c>
      <c r="U249" s="25">
        <v>34</v>
      </c>
      <c r="V249" s="15">
        <v>1</v>
      </c>
    </row>
    <row r="250" spans="1:22">
      <c r="A250" s="13">
        <v>1472</v>
      </c>
      <c r="B250" s="14" t="s">
        <v>26</v>
      </c>
      <c r="C250" s="15">
        <v>59</v>
      </c>
      <c r="D250" s="15" t="s">
        <v>23</v>
      </c>
      <c r="E250" s="16" t="s">
        <v>29</v>
      </c>
      <c r="F250" s="16" t="s">
        <v>29</v>
      </c>
      <c r="G250" s="16" t="s">
        <v>29</v>
      </c>
      <c r="H250" s="16">
        <v>86.52</v>
      </c>
      <c r="I250" s="16">
        <v>40.44</v>
      </c>
      <c r="J250" s="16">
        <v>18.41</v>
      </c>
      <c r="K250" s="16">
        <v>4.79</v>
      </c>
      <c r="L250" s="16">
        <v>50</v>
      </c>
      <c r="M250" s="17">
        <f t="shared" si="9"/>
        <v>173.04</v>
      </c>
      <c r="N250" s="17">
        <f t="shared" si="10"/>
        <v>4.69961977186312</v>
      </c>
      <c r="O250" s="16">
        <f t="shared" si="11"/>
        <v>18.062630480167</v>
      </c>
      <c r="P250" s="16">
        <v>18.3</v>
      </c>
      <c r="Q250" s="16">
        <v>1.43</v>
      </c>
      <c r="R250" s="16">
        <v>20</v>
      </c>
      <c r="S250" s="16">
        <v>78.6</v>
      </c>
      <c r="T250" s="16">
        <v>40</v>
      </c>
      <c r="U250" s="25">
        <v>4</v>
      </c>
      <c r="V250" s="15">
        <v>1</v>
      </c>
    </row>
    <row r="251" spans="1:22">
      <c r="A251" s="13">
        <v>1474</v>
      </c>
      <c r="B251" s="14" t="s">
        <v>26</v>
      </c>
      <c r="C251" s="15">
        <v>68</v>
      </c>
      <c r="D251" s="15" t="s">
        <v>27</v>
      </c>
      <c r="E251" s="16" t="s">
        <v>24</v>
      </c>
      <c r="F251" s="16" t="s">
        <v>25</v>
      </c>
      <c r="G251" s="16" t="s">
        <v>25</v>
      </c>
      <c r="H251" s="16">
        <v>8.93</v>
      </c>
      <c r="I251" s="16">
        <v>8.69</v>
      </c>
      <c r="J251" s="16">
        <v>2.86</v>
      </c>
      <c r="K251" s="16">
        <v>1.61</v>
      </c>
      <c r="L251" s="16">
        <v>62</v>
      </c>
      <c r="M251" s="17">
        <f t="shared" si="9"/>
        <v>14.4032258064516</v>
      </c>
      <c r="N251" s="17">
        <f t="shared" si="10"/>
        <v>3.12237762237762</v>
      </c>
      <c r="O251" s="16">
        <f t="shared" si="11"/>
        <v>5.54658385093168</v>
      </c>
      <c r="P251" s="16">
        <v>13.1</v>
      </c>
      <c r="Q251" s="16">
        <v>7.25</v>
      </c>
      <c r="R251" s="16">
        <v>3.72</v>
      </c>
      <c r="S251" s="16">
        <v>14.42</v>
      </c>
      <c r="T251" s="16">
        <v>248</v>
      </c>
      <c r="U251" s="25">
        <v>18</v>
      </c>
      <c r="V251" s="15">
        <v>0</v>
      </c>
    </row>
    <row r="252" spans="1:22">
      <c r="A252" s="13">
        <v>1476</v>
      </c>
      <c r="B252" s="14" t="s">
        <v>26</v>
      </c>
      <c r="C252" s="15">
        <v>67</v>
      </c>
      <c r="D252" s="15" t="s">
        <v>23</v>
      </c>
      <c r="E252" s="16" t="s">
        <v>24</v>
      </c>
      <c r="F252" s="16" t="s">
        <v>25</v>
      </c>
      <c r="G252" s="16" t="s">
        <v>25</v>
      </c>
      <c r="H252" s="16">
        <v>6.17</v>
      </c>
      <c r="I252" s="16">
        <v>9.63</v>
      </c>
      <c r="J252" s="16">
        <v>15.18</v>
      </c>
      <c r="K252" s="16">
        <v>1.37</v>
      </c>
      <c r="L252" s="16">
        <v>67</v>
      </c>
      <c r="M252" s="17">
        <f t="shared" si="9"/>
        <v>9.2089552238806</v>
      </c>
      <c r="N252" s="17">
        <f t="shared" si="10"/>
        <v>0.406455862977602</v>
      </c>
      <c r="O252" s="16">
        <f t="shared" si="11"/>
        <v>4.5036496350365</v>
      </c>
      <c r="P252" s="16">
        <v>12.2</v>
      </c>
      <c r="Q252" s="16">
        <v>3.49</v>
      </c>
      <c r="R252" s="16">
        <v>1.83</v>
      </c>
      <c r="S252" s="16">
        <v>4.44</v>
      </c>
      <c r="T252" s="16">
        <v>191</v>
      </c>
      <c r="U252" s="25">
        <v>13</v>
      </c>
      <c r="V252" s="15">
        <v>0</v>
      </c>
    </row>
    <row r="253" spans="1:22">
      <c r="A253" s="13">
        <v>1478</v>
      </c>
      <c r="B253" s="14" t="s">
        <v>26</v>
      </c>
      <c r="C253" s="15">
        <v>77</v>
      </c>
      <c r="D253" s="15" t="s">
        <v>23</v>
      </c>
      <c r="E253" s="16" t="s">
        <v>29</v>
      </c>
      <c r="F253" s="16" t="s">
        <v>29</v>
      </c>
      <c r="G253" s="16" t="s">
        <v>29</v>
      </c>
      <c r="H253" s="16">
        <v>8.38</v>
      </c>
      <c r="I253" s="16">
        <v>41.11</v>
      </c>
      <c r="J253" s="16">
        <v>18.09</v>
      </c>
      <c r="K253" s="16">
        <v>2.17</v>
      </c>
      <c r="M253" s="17" t="e">
        <f t="shared" si="9"/>
        <v>#DIV/0!</v>
      </c>
      <c r="N253" s="17">
        <f t="shared" si="10"/>
        <v>0.463239358761747</v>
      </c>
      <c r="O253" s="16">
        <f t="shared" si="11"/>
        <v>3.86175115207373</v>
      </c>
      <c r="P253" s="16">
        <v>11.7</v>
      </c>
      <c r="Q253" s="16">
        <v>4.34</v>
      </c>
      <c r="R253" s="16">
        <v>4.77</v>
      </c>
      <c r="S253" s="16">
        <v>15.07</v>
      </c>
      <c r="T253" s="16">
        <v>47</v>
      </c>
      <c r="U253" s="25">
        <v>25</v>
      </c>
      <c r="V253" s="15">
        <v>0</v>
      </c>
    </row>
    <row r="254" spans="1:22">
      <c r="A254" s="13">
        <v>1479</v>
      </c>
      <c r="B254" s="14" t="s">
        <v>22</v>
      </c>
      <c r="C254" s="15">
        <v>66</v>
      </c>
      <c r="D254" s="15" t="s">
        <v>23</v>
      </c>
      <c r="E254" s="16" t="s">
        <v>29</v>
      </c>
      <c r="F254" s="16" t="s">
        <v>29</v>
      </c>
      <c r="G254" s="16" t="s">
        <v>29</v>
      </c>
      <c r="H254" s="16">
        <v>6.61</v>
      </c>
      <c r="I254" s="16">
        <v>27.38</v>
      </c>
      <c r="J254" s="16">
        <v>26.62</v>
      </c>
      <c r="K254" s="16">
        <v>0.57</v>
      </c>
      <c r="L254" s="16">
        <v>38</v>
      </c>
      <c r="M254" s="17">
        <f t="shared" si="9"/>
        <v>17.3947368421053</v>
      </c>
      <c r="N254" s="17">
        <f t="shared" si="10"/>
        <v>0.248309541697971</v>
      </c>
      <c r="O254" s="16">
        <f t="shared" si="11"/>
        <v>11.5964912280702</v>
      </c>
      <c r="P254" s="16">
        <v>17.9</v>
      </c>
      <c r="Q254" s="16">
        <v>1.57</v>
      </c>
      <c r="R254" s="16">
        <v>2.23</v>
      </c>
      <c r="S254" s="16">
        <v>7.76</v>
      </c>
      <c r="T254" s="16">
        <v>12</v>
      </c>
      <c r="U254" s="25">
        <v>29</v>
      </c>
      <c r="V254" s="15">
        <v>0</v>
      </c>
    </row>
    <row r="255" spans="1:22">
      <c r="A255" s="13">
        <v>1480</v>
      </c>
      <c r="B255" s="14" t="s">
        <v>22</v>
      </c>
      <c r="C255" s="15">
        <v>66</v>
      </c>
      <c r="D255" s="15" t="s">
        <v>23</v>
      </c>
      <c r="E255" s="16" t="s">
        <v>29</v>
      </c>
      <c r="F255" s="16" t="s">
        <v>29</v>
      </c>
      <c r="G255" s="16" t="s">
        <v>29</v>
      </c>
      <c r="H255" s="16">
        <v>17.59</v>
      </c>
      <c r="I255" s="16">
        <v>18.94</v>
      </c>
      <c r="J255" s="16">
        <v>8.35</v>
      </c>
      <c r="K255" s="16">
        <v>2.72</v>
      </c>
      <c r="L255" s="16">
        <v>60</v>
      </c>
      <c r="M255" s="17">
        <f t="shared" si="9"/>
        <v>29.3166666666667</v>
      </c>
      <c r="N255" s="17">
        <f t="shared" si="10"/>
        <v>2.10658682634731</v>
      </c>
      <c r="O255" s="16">
        <f t="shared" si="11"/>
        <v>6.46691176470588</v>
      </c>
      <c r="P255" s="16">
        <v>14.3</v>
      </c>
      <c r="Q255" s="16">
        <v>2.02</v>
      </c>
      <c r="R255" s="16">
        <v>6.33</v>
      </c>
      <c r="S255" s="16">
        <v>15.69</v>
      </c>
      <c r="T255" s="16">
        <v>46</v>
      </c>
      <c r="U255" s="25">
        <v>29</v>
      </c>
      <c r="V255" s="15">
        <v>0</v>
      </c>
    </row>
    <row r="256" spans="1:22">
      <c r="A256" s="13">
        <v>1482</v>
      </c>
      <c r="B256" s="14" t="s">
        <v>26</v>
      </c>
      <c r="C256" s="15">
        <v>64</v>
      </c>
      <c r="D256" s="15" t="s">
        <v>27</v>
      </c>
      <c r="E256" s="16" t="s">
        <v>24</v>
      </c>
      <c r="F256" s="16" t="s">
        <v>25</v>
      </c>
      <c r="G256" s="16" t="s">
        <v>25</v>
      </c>
      <c r="H256" s="16">
        <v>10.26</v>
      </c>
      <c r="I256" s="16">
        <v>13.46</v>
      </c>
      <c r="J256" s="16">
        <v>33.33</v>
      </c>
      <c r="K256" s="16">
        <v>3.25</v>
      </c>
      <c r="L256" s="16">
        <v>50</v>
      </c>
      <c r="M256" s="17">
        <f t="shared" si="9"/>
        <v>20.52</v>
      </c>
      <c r="N256" s="17">
        <f t="shared" si="10"/>
        <v>0.307830783078308</v>
      </c>
      <c r="O256" s="16">
        <f t="shared" si="11"/>
        <v>3.15692307692308</v>
      </c>
      <c r="P256" s="16">
        <v>18.8</v>
      </c>
      <c r="Q256" s="16">
        <v>3.22</v>
      </c>
      <c r="R256" s="16">
        <v>20</v>
      </c>
      <c r="S256" s="16">
        <v>102.41</v>
      </c>
      <c r="T256" s="16">
        <v>100</v>
      </c>
      <c r="U256" s="25">
        <v>21</v>
      </c>
      <c r="V256" s="15">
        <v>0</v>
      </c>
    </row>
    <row r="257" spans="1:22">
      <c r="A257" s="13">
        <v>1483</v>
      </c>
      <c r="B257" s="14" t="s">
        <v>26</v>
      </c>
      <c r="C257" s="15">
        <v>72</v>
      </c>
      <c r="D257" s="15" t="s">
        <v>23</v>
      </c>
      <c r="E257" s="16" t="s">
        <v>24</v>
      </c>
      <c r="F257" s="16" t="s">
        <v>25</v>
      </c>
      <c r="G257" s="16" t="s">
        <v>25</v>
      </c>
      <c r="H257" s="16">
        <v>2.67</v>
      </c>
      <c r="I257" s="16">
        <v>17.07</v>
      </c>
      <c r="J257" s="16">
        <v>9.71</v>
      </c>
      <c r="K257" s="16">
        <v>1.01</v>
      </c>
      <c r="L257" s="16">
        <v>48</v>
      </c>
      <c r="M257" s="17">
        <f t="shared" si="9"/>
        <v>5.5625</v>
      </c>
      <c r="N257" s="17">
        <f t="shared" si="10"/>
        <v>0.274974253347065</v>
      </c>
      <c r="O257" s="16">
        <f t="shared" si="11"/>
        <v>2.64356435643564</v>
      </c>
      <c r="P257" s="16">
        <v>16</v>
      </c>
      <c r="Q257" s="16">
        <v>2.47</v>
      </c>
      <c r="R257" s="16">
        <v>4.82</v>
      </c>
      <c r="S257" s="16">
        <v>18.75</v>
      </c>
      <c r="T257" s="16">
        <v>163</v>
      </c>
      <c r="U257" s="25">
        <v>29</v>
      </c>
      <c r="V257" s="15">
        <v>0</v>
      </c>
    </row>
    <row r="258" spans="1:22">
      <c r="A258" s="13">
        <v>1484</v>
      </c>
      <c r="B258" s="14" t="s">
        <v>22</v>
      </c>
      <c r="C258" s="15">
        <v>57</v>
      </c>
      <c r="D258" s="15" t="s">
        <v>23</v>
      </c>
      <c r="E258" s="16" t="s">
        <v>24</v>
      </c>
      <c r="F258" s="16" t="s">
        <v>25</v>
      </c>
      <c r="G258" s="16" t="s">
        <v>25</v>
      </c>
      <c r="H258" s="16">
        <v>8.92</v>
      </c>
      <c r="I258" s="16">
        <v>18.12</v>
      </c>
      <c r="J258" s="16">
        <v>7.97</v>
      </c>
      <c r="K258" s="16">
        <v>1.63</v>
      </c>
      <c r="M258" s="17" t="e">
        <f t="shared" si="9"/>
        <v>#DIV/0!</v>
      </c>
      <c r="N258" s="17">
        <f t="shared" si="10"/>
        <v>1.11919698870765</v>
      </c>
      <c r="O258" s="16">
        <f t="shared" si="11"/>
        <v>5.47239263803681</v>
      </c>
      <c r="P258" s="16">
        <v>11.1</v>
      </c>
      <c r="Q258" s="16">
        <v>4.67</v>
      </c>
      <c r="R258" s="16">
        <v>2.17</v>
      </c>
      <c r="T258" s="16">
        <v>284</v>
      </c>
      <c r="U258" s="25">
        <v>36</v>
      </c>
      <c r="V258" s="15">
        <v>1</v>
      </c>
    </row>
    <row r="259" spans="1:22">
      <c r="A259" s="13">
        <v>1485</v>
      </c>
      <c r="B259" s="14" t="s">
        <v>22</v>
      </c>
      <c r="C259" s="15">
        <v>57</v>
      </c>
      <c r="D259" s="15" t="s">
        <v>23</v>
      </c>
      <c r="E259" s="16" t="s">
        <v>24</v>
      </c>
      <c r="F259" s="16" t="s">
        <v>25</v>
      </c>
      <c r="G259" s="16" t="s">
        <v>25</v>
      </c>
      <c r="H259" s="16">
        <v>8.53</v>
      </c>
      <c r="I259" s="16">
        <v>15.83</v>
      </c>
      <c r="J259" s="16">
        <v>4.55</v>
      </c>
      <c r="K259" s="16">
        <v>0.83</v>
      </c>
      <c r="M259" s="17" t="e">
        <f t="shared" ref="M259:M322" si="12">100*H259/L259</f>
        <v>#DIV/0!</v>
      </c>
      <c r="N259" s="17">
        <f t="shared" ref="N259:N322" si="13">H259/J259</f>
        <v>1.87472527472527</v>
      </c>
      <c r="O259" s="16">
        <f t="shared" ref="O259:O322" si="14">H259/K259</f>
        <v>10.2771084337349</v>
      </c>
      <c r="P259" s="16">
        <v>14.4</v>
      </c>
      <c r="Q259" s="16">
        <v>3.52</v>
      </c>
      <c r="R259" s="16">
        <v>2.68</v>
      </c>
      <c r="S259" s="16">
        <v>8.61</v>
      </c>
      <c r="T259" s="16">
        <v>177</v>
      </c>
      <c r="U259" s="25">
        <v>36</v>
      </c>
      <c r="V259" s="15">
        <v>1</v>
      </c>
    </row>
    <row r="260" spans="1:22">
      <c r="A260" s="13">
        <v>1487</v>
      </c>
      <c r="B260" s="14" t="s">
        <v>22</v>
      </c>
      <c r="C260" s="15">
        <v>23</v>
      </c>
      <c r="D260" s="15" t="s">
        <v>23</v>
      </c>
      <c r="E260" s="16" t="s">
        <v>29</v>
      </c>
      <c r="F260" s="16" t="s">
        <v>29</v>
      </c>
      <c r="G260" s="16" t="s">
        <v>29</v>
      </c>
      <c r="H260" s="16">
        <v>1.51</v>
      </c>
      <c r="I260" s="16">
        <v>28.38</v>
      </c>
      <c r="J260" s="16">
        <v>13.38</v>
      </c>
      <c r="K260" s="16">
        <v>0.4</v>
      </c>
      <c r="L260" s="16">
        <v>49</v>
      </c>
      <c r="M260" s="17">
        <f t="shared" si="12"/>
        <v>3.08163265306122</v>
      </c>
      <c r="N260" s="17">
        <f t="shared" si="13"/>
        <v>0.112855007473842</v>
      </c>
      <c r="O260" s="16">
        <f t="shared" si="14"/>
        <v>3.775</v>
      </c>
      <c r="P260" s="16">
        <v>21.5</v>
      </c>
      <c r="Q260" s="16">
        <v>1.74</v>
      </c>
      <c r="R260" s="16">
        <v>0.8</v>
      </c>
      <c r="S260" s="16">
        <v>2.61</v>
      </c>
      <c r="T260" s="16">
        <v>83</v>
      </c>
      <c r="U260" s="25">
        <v>30</v>
      </c>
      <c r="V260" s="15">
        <v>0</v>
      </c>
    </row>
    <row r="261" spans="1:22">
      <c r="A261" s="13">
        <v>1488</v>
      </c>
      <c r="B261" s="14" t="s">
        <v>22</v>
      </c>
      <c r="C261" s="15">
        <v>23</v>
      </c>
      <c r="D261" s="22" t="s">
        <v>28</v>
      </c>
      <c r="E261" s="16" t="s">
        <v>24</v>
      </c>
      <c r="F261" s="16" t="s">
        <v>25</v>
      </c>
      <c r="G261" s="16" t="s">
        <v>25</v>
      </c>
      <c r="H261" s="16">
        <v>1.96</v>
      </c>
      <c r="I261" s="16">
        <v>13.1</v>
      </c>
      <c r="J261" s="16">
        <v>5.73</v>
      </c>
      <c r="K261" s="16">
        <v>0.43</v>
      </c>
      <c r="L261" s="16">
        <v>63</v>
      </c>
      <c r="M261" s="17">
        <f t="shared" si="12"/>
        <v>3.11111111111111</v>
      </c>
      <c r="N261" s="17">
        <f t="shared" si="13"/>
        <v>0.342059336823735</v>
      </c>
      <c r="O261" s="16">
        <f t="shared" si="14"/>
        <v>4.55813953488372</v>
      </c>
      <c r="P261" s="16">
        <v>15</v>
      </c>
      <c r="Q261" s="16">
        <v>2.41</v>
      </c>
      <c r="R261" s="16">
        <v>1.08</v>
      </c>
      <c r="S261" s="16">
        <v>2.55</v>
      </c>
      <c r="T261" s="16">
        <v>104</v>
      </c>
      <c r="U261" s="25">
        <v>30</v>
      </c>
      <c r="V261" s="15">
        <v>0</v>
      </c>
    </row>
    <row r="262" spans="1:22">
      <c r="A262" s="13">
        <v>1489</v>
      </c>
      <c r="B262" s="14" t="s">
        <v>22</v>
      </c>
      <c r="C262" s="15">
        <v>23</v>
      </c>
      <c r="D262" s="22" t="s">
        <v>28</v>
      </c>
      <c r="E262" s="16" t="s">
        <v>24</v>
      </c>
      <c r="F262" s="16" t="s">
        <v>25</v>
      </c>
      <c r="G262" s="16" t="s">
        <v>25</v>
      </c>
      <c r="H262" s="16">
        <v>1.83</v>
      </c>
      <c r="I262" s="16">
        <v>11.29</v>
      </c>
      <c r="J262" s="16">
        <v>4.71</v>
      </c>
      <c r="K262" s="16">
        <v>0.34</v>
      </c>
      <c r="L262" s="16">
        <v>65</v>
      </c>
      <c r="M262" s="17">
        <f t="shared" si="12"/>
        <v>2.81538461538462</v>
      </c>
      <c r="N262" s="17">
        <f t="shared" si="13"/>
        <v>0.388535031847134</v>
      </c>
      <c r="O262" s="16">
        <f t="shared" si="14"/>
        <v>5.38235294117647</v>
      </c>
      <c r="P262" s="16">
        <v>14.1</v>
      </c>
      <c r="Q262" s="16">
        <v>2.59</v>
      </c>
      <c r="R262" s="16">
        <v>0.38</v>
      </c>
      <c r="S262" s="16">
        <v>1.46</v>
      </c>
      <c r="T262" s="16">
        <v>204</v>
      </c>
      <c r="U262" s="25">
        <v>30</v>
      </c>
      <c r="V262" s="15">
        <v>0</v>
      </c>
    </row>
    <row r="263" spans="1:22">
      <c r="A263" s="13">
        <v>1491</v>
      </c>
      <c r="B263" s="14" t="s">
        <v>26</v>
      </c>
      <c r="C263" s="15">
        <v>56</v>
      </c>
      <c r="D263" s="15" t="s">
        <v>27</v>
      </c>
      <c r="E263" s="16" t="s">
        <v>24</v>
      </c>
      <c r="F263" s="16" t="s">
        <v>25</v>
      </c>
      <c r="G263" s="16" t="s">
        <v>25</v>
      </c>
      <c r="H263" s="16">
        <v>6.2</v>
      </c>
      <c r="I263" s="16">
        <v>21.55</v>
      </c>
      <c r="J263" s="16">
        <v>20.02</v>
      </c>
      <c r="K263" s="16">
        <v>0.74</v>
      </c>
      <c r="M263" s="17" t="e">
        <f t="shared" si="12"/>
        <v>#DIV/0!</v>
      </c>
      <c r="N263" s="17">
        <f t="shared" si="13"/>
        <v>0.30969030969031</v>
      </c>
      <c r="O263" s="16">
        <f t="shared" si="14"/>
        <v>8.37837837837838</v>
      </c>
      <c r="P263" s="16">
        <v>11.5</v>
      </c>
      <c r="Q263" s="16">
        <v>3.84</v>
      </c>
      <c r="R263" s="16">
        <v>1.67</v>
      </c>
      <c r="T263" s="16">
        <v>154</v>
      </c>
      <c r="U263" s="25">
        <v>26</v>
      </c>
      <c r="V263" s="15">
        <v>0</v>
      </c>
    </row>
    <row r="264" spans="1:22">
      <c r="A264" s="13">
        <v>1492</v>
      </c>
      <c r="B264" s="14" t="s">
        <v>26</v>
      </c>
      <c r="C264" s="15">
        <v>56</v>
      </c>
      <c r="D264" s="15" t="s">
        <v>27</v>
      </c>
      <c r="E264" s="16" t="s">
        <v>29</v>
      </c>
      <c r="F264" s="16" t="s">
        <v>29</v>
      </c>
      <c r="G264" s="16" t="s">
        <v>29</v>
      </c>
      <c r="H264" s="16">
        <v>3.08</v>
      </c>
      <c r="I264" s="16">
        <v>20.41</v>
      </c>
      <c r="J264" s="16">
        <v>6.69</v>
      </c>
      <c r="K264" s="16">
        <v>1.45</v>
      </c>
      <c r="L264" s="16">
        <v>81</v>
      </c>
      <c r="M264" s="17">
        <f t="shared" si="12"/>
        <v>3.80246913580247</v>
      </c>
      <c r="N264" s="17">
        <f t="shared" si="13"/>
        <v>0.460388639760837</v>
      </c>
      <c r="O264" s="16">
        <f t="shared" si="14"/>
        <v>2.12413793103448</v>
      </c>
      <c r="P264" s="16">
        <v>14.6</v>
      </c>
      <c r="Q264" s="16">
        <v>2.97</v>
      </c>
      <c r="R264" s="16">
        <v>16.06</v>
      </c>
      <c r="S264" s="16">
        <v>48.13</v>
      </c>
      <c r="T264" s="16">
        <v>13</v>
      </c>
      <c r="U264" s="25">
        <v>26</v>
      </c>
      <c r="V264" s="15">
        <v>0</v>
      </c>
    </row>
    <row r="265" spans="1:22">
      <c r="A265" s="13">
        <v>1493</v>
      </c>
      <c r="B265" s="14" t="s">
        <v>26</v>
      </c>
      <c r="C265" s="15">
        <v>57</v>
      </c>
      <c r="D265" s="15" t="s">
        <v>23</v>
      </c>
      <c r="E265" s="16" t="s">
        <v>24</v>
      </c>
      <c r="F265" s="16" t="s">
        <v>25</v>
      </c>
      <c r="G265" s="16" t="s">
        <v>25</v>
      </c>
      <c r="H265" s="16">
        <v>5.64</v>
      </c>
      <c r="I265" s="16">
        <v>14.43</v>
      </c>
      <c r="J265" s="16">
        <v>8.02</v>
      </c>
      <c r="K265" s="16">
        <v>2.3</v>
      </c>
      <c r="L265" s="16">
        <v>108</v>
      </c>
      <c r="M265" s="17">
        <f t="shared" si="12"/>
        <v>5.22222222222222</v>
      </c>
      <c r="N265" s="17">
        <f t="shared" si="13"/>
        <v>0.703241895261845</v>
      </c>
      <c r="O265" s="16">
        <f t="shared" si="14"/>
        <v>2.45217391304348</v>
      </c>
      <c r="P265" s="16">
        <v>14.5</v>
      </c>
      <c r="Q265" s="16">
        <v>5.9</v>
      </c>
      <c r="R265" s="16">
        <v>1.94</v>
      </c>
      <c r="S265" s="16">
        <v>6.74</v>
      </c>
      <c r="T265" s="16">
        <v>126</v>
      </c>
      <c r="U265" s="25">
        <v>29</v>
      </c>
      <c r="V265" s="15">
        <v>0</v>
      </c>
    </row>
    <row r="266" spans="1:22">
      <c r="A266" s="13">
        <v>1495</v>
      </c>
      <c r="B266" s="14" t="s">
        <v>26</v>
      </c>
      <c r="C266" s="15">
        <v>43</v>
      </c>
      <c r="D266" s="15" t="s">
        <v>27</v>
      </c>
      <c r="E266" s="16" t="s">
        <v>24</v>
      </c>
      <c r="F266" s="16" t="s">
        <v>25</v>
      </c>
      <c r="G266" s="16" t="s">
        <v>25</v>
      </c>
      <c r="H266" s="16">
        <v>28.27</v>
      </c>
      <c r="I266" s="16">
        <v>14.3</v>
      </c>
      <c r="J266" s="16">
        <v>12.95</v>
      </c>
      <c r="K266" s="16">
        <v>1.87</v>
      </c>
      <c r="M266" s="17" t="e">
        <f t="shared" si="12"/>
        <v>#DIV/0!</v>
      </c>
      <c r="N266" s="17">
        <f t="shared" si="13"/>
        <v>2.18301158301158</v>
      </c>
      <c r="O266" s="16">
        <f t="shared" si="14"/>
        <v>15.1176470588235</v>
      </c>
      <c r="P266" s="16">
        <v>13.4</v>
      </c>
      <c r="Q266" s="16">
        <v>3.05</v>
      </c>
      <c r="R266" s="16">
        <v>12.28</v>
      </c>
      <c r="S266" s="16">
        <v>35.81</v>
      </c>
      <c r="T266" s="16">
        <v>258</v>
      </c>
      <c r="U266" s="25">
        <v>34</v>
      </c>
      <c r="V266" s="15">
        <v>0</v>
      </c>
    </row>
    <row r="267" spans="1:22">
      <c r="A267" s="13">
        <v>1500</v>
      </c>
      <c r="B267" s="14" t="s">
        <v>26</v>
      </c>
      <c r="C267" s="15">
        <v>47</v>
      </c>
      <c r="D267" s="15" t="s">
        <v>23</v>
      </c>
      <c r="E267" s="16" t="s">
        <v>29</v>
      </c>
      <c r="F267" s="16" t="s">
        <v>29</v>
      </c>
      <c r="G267" s="16" t="s">
        <v>29</v>
      </c>
      <c r="H267" s="16">
        <v>2.59</v>
      </c>
      <c r="I267" s="16">
        <v>37.61</v>
      </c>
      <c r="J267" s="16">
        <v>31.19</v>
      </c>
      <c r="K267" s="16">
        <v>1.7</v>
      </c>
      <c r="M267" s="17" t="e">
        <f t="shared" si="12"/>
        <v>#DIV/0!</v>
      </c>
      <c r="N267" s="17">
        <f t="shared" si="13"/>
        <v>0.0830394357165758</v>
      </c>
      <c r="O267" s="16">
        <f t="shared" si="14"/>
        <v>1.52352941176471</v>
      </c>
      <c r="P267" s="16">
        <v>24.6</v>
      </c>
      <c r="Q267" s="16">
        <v>5.56</v>
      </c>
      <c r="R267" s="16">
        <v>13.54</v>
      </c>
      <c r="T267" s="16">
        <v>33</v>
      </c>
      <c r="U267" s="25">
        <v>11</v>
      </c>
      <c r="V267" s="15">
        <v>0</v>
      </c>
    </row>
    <row r="268" spans="1:22">
      <c r="A268" s="13">
        <v>1502</v>
      </c>
      <c r="B268" s="14" t="s">
        <v>26</v>
      </c>
      <c r="C268" s="15">
        <v>60</v>
      </c>
      <c r="D268" s="15" t="s">
        <v>23</v>
      </c>
      <c r="E268" s="16" t="s">
        <v>24</v>
      </c>
      <c r="F268" s="16" t="s">
        <v>25</v>
      </c>
      <c r="G268" s="16" t="s">
        <v>25</v>
      </c>
      <c r="H268" s="16">
        <v>4.23</v>
      </c>
      <c r="I268" s="16">
        <v>47.77</v>
      </c>
      <c r="J268" s="16">
        <v>16.18</v>
      </c>
      <c r="K268" s="16">
        <v>0.49</v>
      </c>
      <c r="M268" s="17" t="e">
        <f t="shared" si="12"/>
        <v>#DIV/0!</v>
      </c>
      <c r="N268" s="17">
        <f t="shared" si="13"/>
        <v>0.261433868974042</v>
      </c>
      <c r="O268" s="16">
        <f t="shared" si="14"/>
        <v>8.63265306122449</v>
      </c>
      <c r="P268" s="16">
        <v>48.6</v>
      </c>
      <c r="Q268" s="16">
        <v>4.86</v>
      </c>
      <c r="R268" s="16">
        <v>0.3</v>
      </c>
      <c r="T268" s="16">
        <v>165</v>
      </c>
      <c r="U268" s="25">
        <v>23</v>
      </c>
      <c r="V268" s="15">
        <v>0</v>
      </c>
    </row>
    <row r="269" spans="1:22">
      <c r="A269" s="13">
        <v>1503</v>
      </c>
      <c r="B269" s="14" t="s">
        <v>26</v>
      </c>
      <c r="C269" s="15">
        <v>64</v>
      </c>
      <c r="D269" s="22" t="s">
        <v>28</v>
      </c>
      <c r="E269" s="16" t="s">
        <v>29</v>
      </c>
      <c r="F269" s="16" t="s">
        <v>29</v>
      </c>
      <c r="G269" s="16" t="s">
        <v>29</v>
      </c>
      <c r="H269" s="16">
        <v>6.88</v>
      </c>
      <c r="I269" s="16">
        <v>27.43</v>
      </c>
      <c r="J269" s="16">
        <v>31.49</v>
      </c>
      <c r="K269" s="16">
        <v>1.31</v>
      </c>
      <c r="M269" s="17" t="e">
        <f t="shared" si="12"/>
        <v>#DIV/0!</v>
      </c>
      <c r="N269" s="17">
        <f t="shared" si="13"/>
        <v>0.218482057796126</v>
      </c>
      <c r="O269" s="16">
        <f t="shared" si="14"/>
        <v>5.25190839694656</v>
      </c>
      <c r="P269" s="16">
        <v>13.9</v>
      </c>
      <c r="Q269" s="16">
        <v>7.22</v>
      </c>
      <c r="R269" s="16">
        <v>6.95</v>
      </c>
      <c r="S269" s="16">
        <v>13.2</v>
      </c>
      <c r="T269" s="16">
        <v>35</v>
      </c>
      <c r="U269" s="25">
        <v>29</v>
      </c>
      <c r="V269" s="15">
        <v>1</v>
      </c>
    </row>
    <row r="270" spans="1:22">
      <c r="A270" s="13">
        <v>1504</v>
      </c>
      <c r="B270" s="14" t="s">
        <v>26</v>
      </c>
      <c r="C270" s="15">
        <v>85</v>
      </c>
      <c r="D270" s="15" t="s">
        <v>23</v>
      </c>
      <c r="E270" s="16" t="s">
        <v>24</v>
      </c>
      <c r="F270" s="16" t="s">
        <v>25</v>
      </c>
      <c r="G270" s="16" t="s">
        <v>25</v>
      </c>
      <c r="H270" s="16">
        <v>13.22</v>
      </c>
      <c r="I270" s="16">
        <v>12.07</v>
      </c>
      <c r="J270" s="16">
        <v>20.7</v>
      </c>
      <c r="K270" s="16">
        <v>0.89</v>
      </c>
      <c r="L270" s="16">
        <v>42</v>
      </c>
      <c r="M270" s="17">
        <f t="shared" si="12"/>
        <v>31.4761904761905</v>
      </c>
      <c r="N270" s="17">
        <f t="shared" si="13"/>
        <v>0.638647342995169</v>
      </c>
      <c r="O270" s="16">
        <f t="shared" si="14"/>
        <v>14.8539325842697</v>
      </c>
      <c r="P270" s="16">
        <v>18.1</v>
      </c>
      <c r="Q270" s="16">
        <v>3.34</v>
      </c>
      <c r="R270" s="16">
        <v>3.06</v>
      </c>
      <c r="S270" s="16">
        <v>13.09</v>
      </c>
      <c r="T270" s="16">
        <v>149</v>
      </c>
      <c r="U270" s="25">
        <v>37</v>
      </c>
      <c r="V270" s="15">
        <v>1</v>
      </c>
    </row>
    <row r="271" spans="1:22">
      <c r="A271" s="13">
        <v>1506</v>
      </c>
      <c r="B271" s="14" t="s">
        <v>22</v>
      </c>
      <c r="C271" s="15">
        <v>52</v>
      </c>
      <c r="D271" s="22" t="s">
        <v>28</v>
      </c>
      <c r="E271" s="16" t="s">
        <v>29</v>
      </c>
      <c r="F271" s="16" t="s">
        <v>29</v>
      </c>
      <c r="G271" s="16" t="s">
        <v>29</v>
      </c>
      <c r="H271" s="16">
        <v>33.17</v>
      </c>
      <c r="I271" s="16">
        <v>21.88</v>
      </c>
      <c r="J271" s="16">
        <v>31.28</v>
      </c>
      <c r="K271" s="16">
        <v>3.31</v>
      </c>
      <c r="L271" s="16">
        <v>33</v>
      </c>
      <c r="M271" s="17">
        <f t="shared" si="12"/>
        <v>100.515151515152</v>
      </c>
      <c r="N271" s="17">
        <f t="shared" si="13"/>
        <v>1.06042199488491</v>
      </c>
      <c r="O271" s="16">
        <f t="shared" si="14"/>
        <v>10.0211480362538</v>
      </c>
      <c r="P271" s="16">
        <v>26.1</v>
      </c>
      <c r="Q271" s="16">
        <v>1.92</v>
      </c>
      <c r="R271" s="16">
        <v>3.47</v>
      </c>
      <c r="S271" s="16">
        <v>11.59</v>
      </c>
      <c r="T271" s="16">
        <v>22</v>
      </c>
      <c r="U271" s="25">
        <v>14</v>
      </c>
      <c r="V271" s="15">
        <v>1</v>
      </c>
    </row>
    <row r="272" spans="1:22">
      <c r="A272" s="13">
        <v>1507</v>
      </c>
      <c r="B272" s="14" t="s">
        <v>22</v>
      </c>
      <c r="C272" s="15">
        <v>87</v>
      </c>
      <c r="D272" s="15" t="s">
        <v>23</v>
      </c>
      <c r="E272" s="16" t="s">
        <v>24</v>
      </c>
      <c r="F272" s="16" t="s">
        <v>25</v>
      </c>
      <c r="G272" s="16" t="s">
        <v>25</v>
      </c>
      <c r="H272" s="16">
        <v>45.37</v>
      </c>
      <c r="I272" s="16">
        <v>9.21</v>
      </c>
      <c r="J272" s="16">
        <v>20.77</v>
      </c>
      <c r="K272" s="16">
        <v>1.51</v>
      </c>
      <c r="L272" s="16">
        <v>79</v>
      </c>
      <c r="M272" s="17">
        <f t="shared" si="12"/>
        <v>57.4303797468354</v>
      </c>
      <c r="N272" s="17">
        <f t="shared" si="13"/>
        <v>2.18440057775638</v>
      </c>
      <c r="O272" s="16">
        <f t="shared" si="14"/>
        <v>30.046357615894</v>
      </c>
      <c r="P272" s="16">
        <v>14.5</v>
      </c>
      <c r="Q272" s="16">
        <v>4.99</v>
      </c>
      <c r="R272" s="16">
        <v>2.76</v>
      </c>
      <c r="S272" s="16">
        <v>9.73</v>
      </c>
      <c r="T272" s="16">
        <v>163</v>
      </c>
      <c r="U272" s="25">
        <v>14</v>
      </c>
      <c r="V272" s="15">
        <v>0</v>
      </c>
    </row>
    <row r="273" spans="1:22">
      <c r="A273" s="13">
        <v>1509</v>
      </c>
      <c r="B273" s="14" t="s">
        <v>26</v>
      </c>
      <c r="C273" s="15">
        <v>75</v>
      </c>
      <c r="D273" s="22" t="s">
        <v>28</v>
      </c>
      <c r="E273" s="16" t="s">
        <v>29</v>
      </c>
      <c r="F273" s="16" t="s">
        <v>29</v>
      </c>
      <c r="G273" s="16" t="s">
        <v>29</v>
      </c>
      <c r="H273" s="16">
        <v>87.79</v>
      </c>
      <c r="I273" s="16">
        <v>25.94</v>
      </c>
      <c r="J273" s="16">
        <v>33.25</v>
      </c>
      <c r="K273" s="16">
        <v>2.55</v>
      </c>
      <c r="M273" s="17" t="e">
        <f t="shared" si="12"/>
        <v>#DIV/0!</v>
      </c>
      <c r="N273" s="17">
        <f t="shared" si="13"/>
        <v>2.6403007518797</v>
      </c>
      <c r="O273" s="16">
        <f t="shared" si="14"/>
        <v>34.4274509803922</v>
      </c>
      <c r="P273" s="16">
        <v>18</v>
      </c>
      <c r="Q273" s="16">
        <v>3.12</v>
      </c>
      <c r="R273" s="16">
        <v>31.99</v>
      </c>
      <c r="T273" s="16">
        <v>42</v>
      </c>
      <c r="U273" s="25">
        <v>9</v>
      </c>
      <c r="V273" s="15">
        <v>1</v>
      </c>
    </row>
    <row r="274" spans="1:22">
      <c r="A274" s="13">
        <v>1510</v>
      </c>
      <c r="B274" s="14" t="s">
        <v>26</v>
      </c>
      <c r="C274" s="15">
        <v>57</v>
      </c>
      <c r="D274" s="15" t="s">
        <v>23</v>
      </c>
      <c r="E274" s="16" t="s">
        <v>29</v>
      </c>
      <c r="F274" s="16" t="s">
        <v>29</v>
      </c>
      <c r="G274" s="16" t="s">
        <v>29</v>
      </c>
      <c r="H274" s="16">
        <v>54.03</v>
      </c>
      <c r="I274" s="16">
        <v>49.96</v>
      </c>
      <c r="J274" s="16">
        <v>6.84</v>
      </c>
      <c r="K274" s="16">
        <v>2.41</v>
      </c>
      <c r="L274" s="16">
        <v>33</v>
      </c>
      <c r="M274" s="17">
        <f t="shared" si="12"/>
        <v>163.727272727273</v>
      </c>
      <c r="N274" s="17">
        <f t="shared" si="13"/>
        <v>7.89912280701754</v>
      </c>
      <c r="O274" s="16">
        <f t="shared" si="14"/>
        <v>22.4190871369295</v>
      </c>
      <c r="P274" s="16">
        <v>21.7</v>
      </c>
      <c r="Q274" s="16">
        <v>3.1</v>
      </c>
      <c r="R274" s="16">
        <v>3.59</v>
      </c>
      <c r="S274" s="16">
        <v>14.37</v>
      </c>
      <c r="T274" s="16">
        <v>14</v>
      </c>
      <c r="U274" s="25">
        <v>15</v>
      </c>
      <c r="V274" s="15">
        <v>1</v>
      </c>
    </row>
    <row r="275" spans="1:22">
      <c r="A275" s="13">
        <v>1512</v>
      </c>
      <c r="B275" s="14" t="s">
        <v>22</v>
      </c>
      <c r="C275" s="15">
        <v>56</v>
      </c>
      <c r="D275" s="15" t="s">
        <v>23</v>
      </c>
      <c r="E275" s="16" t="s">
        <v>24</v>
      </c>
      <c r="F275" s="16" t="s">
        <v>25</v>
      </c>
      <c r="G275" s="16" t="s">
        <v>25</v>
      </c>
      <c r="H275" s="16">
        <v>4.37</v>
      </c>
      <c r="I275" s="16">
        <v>9.86</v>
      </c>
      <c r="J275" s="16">
        <v>10.52</v>
      </c>
      <c r="K275" s="16">
        <v>1.14</v>
      </c>
      <c r="M275" s="17" t="e">
        <f t="shared" si="12"/>
        <v>#DIV/0!</v>
      </c>
      <c r="N275" s="17">
        <f t="shared" si="13"/>
        <v>0.415399239543726</v>
      </c>
      <c r="O275" s="16">
        <f t="shared" si="14"/>
        <v>3.83333333333333</v>
      </c>
      <c r="P275" s="16">
        <v>14.3</v>
      </c>
      <c r="Q275" s="16">
        <v>6.78</v>
      </c>
      <c r="R275" s="16">
        <v>1.65</v>
      </c>
      <c r="T275" s="16">
        <v>599</v>
      </c>
      <c r="U275" s="25">
        <v>21</v>
      </c>
      <c r="V275" s="15">
        <v>0</v>
      </c>
    </row>
    <row r="276" spans="1:22">
      <c r="A276" s="13">
        <v>1513</v>
      </c>
      <c r="B276" s="14" t="s">
        <v>22</v>
      </c>
      <c r="C276" s="15">
        <v>56</v>
      </c>
      <c r="D276" s="15" t="s">
        <v>23</v>
      </c>
      <c r="E276" s="16" t="s">
        <v>24</v>
      </c>
      <c r="F276" s="16" t="s">
        <v>25</v>
      </c>
      <c r="G276" s="16" t="s">
        <v>25</v>
      </c>
      <c r="H276" s="16">
        <v>5.58</v>
      </c>
      <c r="I276" s="16">
        <v>8.1</v>
      </c>
      <c r="J276" s="16">
        <v>8.44</v>
      </c>
      <c r="K276" s="16">
        <v>1.47</v>
      </c>
      <c r="L276" s="16">
        <v>68</v>
      </c>
      <c r="M276" s="17">
        <f t="shared" si="12"/>
        <v>8.20588235294118</v>
      </c>
      <c r="N276" s="17">
        <f t="shared" si="13"/>
        <v>0.661137440758294</v>
      </c>
      <c r="O276" s="16">
        <f t="shared" si="14"/>
        <v>3.79591836734694</v>
      </c>
      <c r="P276" s="16">
        <v>15</v>
      </c>
      <c r="Q276" s="16">
        <v>5.01</v>
      </c>
      <c r="R276" s="16">
        <v>4.39</v>
      </c>
      <c r="S276" s="16">
        <v>17.11</v>
      </c>
      <c r="T276" s="16">
        <v>656</v>
      </c>
      <c r="U276" s="25">
        <v>21</v>
      </c>
      <c r="V276" s="15">
        <v>0</v>
      </c>
    </row>
    <row r="277" spans="1:22">
      <c r="A277" s="13">
        <v>1514</v>
      </c>
      <c r="B277" s="14" t="s">
        <v>26</v>
      </c>
      <c r="C277" s="15">
        <v>43</v>
      </c>
      <c r="D277" s="15" t="s">
        <v>27</v>
      </c>
      <c r="E277" s="16" t="s">
        <v>24</v>
      </c>
      <c r="F277" s="16" t="s">
        <v>25</v>
      </c>
      <c r="G277" s="16" t="s">
        <v>25</v>
      </c>
      <c r="H277" s="16">
        <v>13.02</v>
      </c>
      <c r="I277" s="16">
        <v>27.21</v>
      </c>
      <c r="J277" s="16">
        <v>13.89</v>
      </c>
      <c r="K277" s="16">
        <v>1.66</v>
      </c>
      <c r="L277" s="16">
        <v>70</v>
      </c>
      <c r="M277" s="17">
        <f t="shared" si="12"/>
        <v>18.6</v>
      </c>
      <c r="N277" s="17">
        <f t="shared" si="13"/>
        <v>0.937365010799136</v>
      </c>
      <c r="O277" s="16">
        <f t="shared" si="14"/>
        <v>7.8433734939759</v>
      </c>
      <c r="P277" s="16">
        <v>15.2</v>
      </c>
      <c r="Q277" s="16">
        <v>3.96</v>
      </c>
      <c r="R277" s="16">
        <v>14.91</v>
      </c>
      <c r="S277" s="16">
        <v>71.88</v>
      </c>
      <c r="T277" s="16">
        <v>190</v>
      </c>
      <c r="U277" s="25">
        <v>36</v>
      </c>
      <c r="V277" s="15">
        <v>0</v>
      </c>
    </row>
    <row r="278" spans="1:22">
      <c r="A278" s="13">
        <v>1515</v>
      </c>
      <c r="B278" s="14" t="s">
        <v>26</v>
      </c>
      <c r="C278" s="15">
        <v>36</v>
      </c>
      <c r="D278" s="15" t="s">
        <v>27</v>
      </c>
      <c r="E278" s="16" t="s">
        <v>24</v>
      </c>
      <c r="F278" s="16" t="s">
        <v>25</v>
      </c>
      <c r="G278" s="16" t="s">
        <v>25</v>
      </c>
      <c r="H278" s="16">
        <v>5.17</v>
      </c>
      <c r="I278" s="16">
        <v>5.22</v>
      </c>
      <c r="J278" s="16">
        <v>5.09</v>
      </c>
      <c r="K278" s="16">
        <v>0.61</v>
      </c>
      <c r="L278" s="16">
        <v>109</v>
      </c>
      <c r="M278" s="17">
        <f t="shared" si="12"/>
        <v>4.74311926605505</v>
      </c>
      <c r="N278" s="17">
        <f t="shared" si="13"/>
        <v>1.01571709233792</v>
      </c>
      <c r="O278" s="16">
        <f t="shared" si="14"/>
        <v>8.47540983606557</v>
      </c>
      <c r="P278" s="16">
        <v>14</v>
      </c>
      <c r="Q278" s="16">
        <v>4.14</v>
      </c>
      <c r="R278" s="16">
        <v>0.66</v>
      </c>
      <c r="S278" s="16">
        <v>3.94</v>
      </c>
      <c r="T278" s="16">
        <v>300</v>
      </c>
      <c r="U278" s="25">
        <v>16</v>
      </c>
      <c r="V278" s="15">
        <v>0</v>
      </c>
    </row>
    <row r="279" spans="1:22">
      <c r="A279" s="13">
        <v>1519</v>
      </c>
      <c r="B279" s="14" t="s">
        <v>26</v>
      </c>
      <c r="C279" s="15">
        <v>84</v>
      </c>
      <c r="D279" s="15" t="s">
        <v>27</v>
      </c>
      <c r="E279" s="16" t="s">
        <v>24</v>
      </c>
      <c r="F279" s="16" t="s">
        <v>25</v>
      </c>
      <c r="G279" s="16" t="s">
        <v>25</v>
      </c>
      <c r="H279" s="16">
        <v>17.19</v>
      </c>
      <c r="I279" s="16">
        <v>12.75</v>
      </c>
      <c r="J279" s="16">
        <v>11.05</v>
      </c>
      <c r="K279" s="16">
        <v>0.29</v>
      </c>
      <c r="L279" s="16">
        <v>60</v>
      </c>
      <c r="M279" s="17">
        <f t="shared" si="12"/>
        <v>28.65</v>
      </c>
      <c r="N279" s="17">
        <f t="shared" si="13"/>
        <v>1.55565610859729</v>
      </c>
      <c r="O279" s="16">
        <f t="shared" si="14"/>
        <v>59.2758620689655</v>
      </c>
      <c r="P279" s="16">
        <v>16.3</v>
      </c>
      <c r="Q279" s="16">
        <v>4.26</v>
      </c>
      <c r="R279" s="16">
        <v>2.44</v>
      </c>
      <c r="S279" s="16">
        <v>11.75</v>
      </c>
      <c r="T279" s="16">
        <v>95</v>
      </c>
      <c r="U279" s="25">
        <v>21</v>
      </c>
      <c r="V279" s="15">
        <v>0</v>
      </c>
    </row>
    <row r="280" spans="1:22">
      <c r="A280" s="13">
        <v>1522</v>
      </c>
      <c r="B280" s="14" t="s">
        <v>26</v>
      </c>
      <c r="C280" s="15">
        <v>79</v>
      </c>
      <c r="D280" s="15" t="s">
        <v>23</v>
      </c>
      <c r="E280" s="16" t="s">
        <v>24</v>
      </c>
      <c r="F280" s="16" t="s">
        <v>25</v>
      </c>
      <c r="G280" s="16" t="s">
        <v>25</v>
      </c>
      <c r="H280" s="16">
        <v>42.6</v>
      </c>
      <c r="I280" s="16">
        <v>16.31</v>
      </c>
      <c r="J280" s="16">
        <v>4.8</v>
      </c>
      <c r="K280" s="16">
        <v>2.44</v>
      </c>
      <c r="M280" s="17" t="e">
        <f t="shared" si="12"/>
        <v>#DIV/0!</v>
      </c>
      <c r="N280" s="17">
        <f t="shared" si="13"/>
        <v>8.875</v>
      </c>
      <c r="O280" s="16">
        <f t="shared" si="14"/>
        <v>17.4590163934426</v>
      </c>
      <c r="P280" s="16">
        <v>13.1</v>
      </c>
      <c r="Q280" s="16">
        <v>4.08</v>
      </c>
      <c r="R280" s="16">
        <v>0.99</v>
      </c>
      <c r="T280" s="16">
        <v>160</v>
      </c>
      <c r="U280" s="25">
        <v>103</v>
      </c>
      <c r="V280" s="15">
        <v>0</v>
      </c>
    </row>
    <row r="281" spans="1:22">
      <c r="A281" s="13">
        <v>1524</v>
      </c>
      <c r="B281" s="14" t="s">
        <v>22</v>
      </c>
      <c r="C281" s="15">
        <v>33</v>
      </c>
      <c r="D281" s="22" t="s">
        <v>35</v>
      </c>
      <c r="E281" s="16" t="s">
        <v>24</v>
      </c>
      <c r="F281" s="16" t="s">
        <v>25</v>
      </c>
      <c r="G281" s="16" t="s">
        <v>25</v>
      </c>
      <c r="H281" s="16">
        <v>0.59</v>
      </c>
      <c r="I281" s="16">
        <v>6.96</v>
      </c>
      <c r="J281" s="16">
        <v>7.76</v>
      </c>
      <c r="K281" s="16">
        <v>0.59</v>
      </c>
      <c r="M281" s="17" t="e">
        <f t="shared" si="12"/>
        <v>#DIV/0!</v>
      </c>
      <c r="N281" s="17">
        <f t="shared" si="13"/>
        <v>0.0760309278350515</v>
      </c>
      <c r="O281" s="16">
        <f t="shared" si="14"/>
        <v>1</v>
      </c>
      <c r="P281" s="16">
        <v>27.4</v>
      </c>
      <c r="Q281" s="16">
        <v>2.21</v>
      </c>
      <c r="R281" s="16">
        <v>0.91</v>
      </c>
      <c r="T281" s="16">
        <v>258</v>
      </c>
      <c r="U281" s="25">
        <v>22</v>
      </c>
      <c r="V281" s="15">
        <v>0</v>
      </c>
    </row>
    <row r="282" spans="1:22">
      <c r="A282" s="13">
        <v>1525</v>
      </c>
      <c r="B282" s="14" t="s">
        <v>22</v>
      </c>
      <c r="C282" s="15">
        <v>33</v>
      </c>
      <c r="D282" s="22" t="s">
        <v>35</v>
      </c>
      <c r="E282" s="16" t="s">
        <v>24</v>
      </c>
      <c r="F282" s="16" t="s">
        <v>25</v>
      </c>
      <c r="G282" s="16" t="s">
        <v>25</v>
      </c>
      <c r="H282" s="16">
        <v>4.38</v>
      </c>
      <c r="I282" s="16">
        <v>11.38</v>
      </c>
      <c r="J282" s="16">
        <v>5.81</v>
      </c>
      <c r="K282" s="16">
        <v>1.21</v>
      </c>
      <c r="L282" s="16">
        <v>65</v>
      </c>
      <c r="M282" s="17">
        <f t="shared" si="12"/>
        <v>6.73846153846154</v>
      </c>
      <c r="N282" s="17">
        <f t="shared" si="13"/>
        <v>0.753872633390706</v>
      </c>
      <c r="O282" s="16">
        <f t="shared" si="14"/>
        <v>3.6198347107438</v>
      </c>
      <c r="P282" s="16">
        <v>14.3</v>
      </c>
      <c r="Q282" s="16">
        <v>3.68</v>
      </c>
      <c r="R282" s="16">
        <v>1.47</v>
      </c>
      <c r="S282" s="16">
        <v>2.98</v>
      </c>
      <c r="T282" s="16">
        <v>225</v>
      </c>
      <c r="U282" s="25">
        <v>22</v>
      </c>
      <c r="V282" s="15">
        <v>0</v>
      </c>
    </row>
    <row r="283" spans="1:22">
      <c r="A283" s="13">
        <v>1526</v>
      </c>
      <c r="B283" s="14" t="s">
        <v>22</v>
      </c>
      <c r="C283" s="15">
        <v>71</v>
      </c>
      <c r="D283" s="15" t="s">
        <v>23</v>
      </c>
      <c r="E283" s="16" t="s">
        <v>24</v>
      </c>
      <c r="F283" s="16" t="s">
        <v>25</v>
      </c>
      <c r="G283" s="16" t="s">
        <v>25</v>
      </c>
      <c r="H283" s="16">
        <v>15.36</v>
      </c>
      <c r="I283" s="16">
        <v>16.72</v>
      </c>
      <c r="J283" s="16">
        <v>20.42</v>
      </c>
      <c r="K283" s="16">
        <v>2.6</v>
      </c>
      <c r="M283" s="17" t="e">
        <f t="shared" si="12"/>
        <v>#DIV/0!</v>
      </c>
      <c r="N283" s="17">
        <f t="shared" si="13"/>
        <v>0.752203721841332</v>
      </c>
      <c r="O283" s="16">
        <f t="shared" si="14"/>
        <v>5.90769230769231</v>
      </c>
      <c r="P283" s="16">
        <v>12.7</v>
      </c>
      <c r="Q283" s="16">
        <v>3.96</v>
      </c>
      <c r="R283" s="16">
        <v>11.67</v>
      </c>
      <c r="S283" s="16">
        <v>28.2</v>
      </c>
      <c r="T283" s="16">
        <v>211</v>
      </c>
      <c r="U283" s="25">
        <v>15</v>
      </c>
      <c r="V283" s="15">
        <v>0</v>
      </c>
    </row>
    <row r="284" spans="1:22">
      <c r="A284" s="13">
        <v>1531</v>
      </c>
      <c r="B284" s="14" t="s">
        <v>26</v>
      </c>
      <c r="C284" s="15">
        <v>83</v>
      </c>
      <c r="D284" s="15" t="s">
        <v>23</v>
      </c>
      <c r="E284" s="16" t="s">
        <v>24</v>
      </c>
      <c r="F284" s="16" t="s">
        <v>31</v>
      </c>
      <c r="G284" s="16" t="s">
        <v>33</v>
      </c>
      <c r="H284" s="16">
        <v>11.53</v>
      </c>
      <c r="I284" s="16">
        <v>14.22</v>
      </c>
      <c r="J284" s="16">
        <v>8.62</v>
      </c>
      <c r="K284" s="16">
        <v>3.85</v>
      </c>
      <c r="L284" s="16">
        <v>48</v>
      </c>
      <c r="M284" s="17">
        <f t="shared" si="12"/>
        <v>24.0208333333333</v>
      </c>
      <c r="N284" s="17">
        <f t="shared" si="13"/>
        <v>1.33758700696056</v>
      </c>
      <c r="O284" s="16">
        <f t="shared" si="14"/>
        <v>2.99480519480519</v>
      </c>
      <c r="P284" s="16">
        <v>15.5</v>
      </c>
      <c r="Q284" s="16">
        <v>5.28</v>
      </c>
      <c r="R284" s="16">
        <v>6.22</v>
      </c>
      <c r="S284" s="16">
        <v>21.74</v>
      </c>
      <c r="T284" s="16">
        <v>61</v>
      </c>
      <c r="U284" s="25">
        <v>32</v>
      </c>
      <c r="V284" s="15">
        <v>1</v>
      </c>
    </row>
    <row r="285" spans="1:22">
      <c r="A285" s="13">
        <v>1532</v>
      </c>
      <c r="B285" s="14" t="s">
        <v>22</v>
      </c>
      <c r="C285" s="15">
        <v>66</v>
      </c>
      <c r="D285" s="15" t="s">
        <v>23</v>
      </c>
      <c r="E285" s="16" t="s">
        <v>24</v>
      </c>
      <c r="F285" s="16" t="s">
        <v>25</v>
      </c>
      <c r="G285" s="16" t="s">
        <v>25</v>
      </c>
      <c r="H285" s="16">
        <v>18.18</v>
      </c>
      <c r="I285" s="16">
        <v>7.52</v>
      </c>
      <c r="J285" s="16">
        <v>35.11</v>
      </c>
      <c r="K285" s="16">
        <v>0.95</v>
      </c>
      <c r="M285" s="17" t="e">
        <f t="shared" si="12"/>
        <v>#DIV/0!</v>
      </c>
      <c r="N285" s="17">
        <f t="shared" si="13"/>
        <v>0.517801196240387</v>
      </c>
      <c r="O285" s="16">
        <f t="shared" si="14"/>
        <v>19.1368421052632</v>
      </c>
      <c r="P285" s="16">
        <v>13.2</v>
      </c>
      <c r="Q285" s="16">
        <v>4.08</v>
      </c>
      <c r="R285" s="16">
        <v>2.54</v>
      </c>
      <c r="T285" s="16">
        <v>116</v>
      </c>
      <c r="U285" s="25">
        <v>14</v>
      </c>
      <c r="V285" s="15">
        <v>1</v>
      </c>
    </row>
    <row r="286" spans="1:22">
      <c r="A286" s="13">
        <v>1533</v>
      </c>
      <c r="B286" s="14" t="s">
        <v>26</v>
      </c>
      <c r="C286" s="15">
        <v>56</v>
      </c>
      <c r="D286" s="15" t="s">
        <v>23</v>
      </c>
      <c r="E286" s="16" t="s">
        <v>24</v>
      </c>
      <c r="F286" s="16" t="s">
        <v>25</v>
      </c>
      <c r="G286" s="16" t="s">
        <v>25</v>
      </c>
      <c r="H286" s="16">
        <v>1.76</v>
      </c>
      <c r="I286" s="16">
        <v>10.98</v>
      </c>
      <c r="J286" s="16">
        <v>3.52</v>
      </c>
      <c r="K286" s="16">
        <v>0.73</v>
      </c>
      <c r="L286" s="16">
        <v>81</v>
      </c>
      <c r="M286" s="17">
        <f t="shared" si="12"/>
        <v>2.17283950617284</v>
      </c>
      <c r="N286" s="17">
        <f t="shared" si="13"/>
        <v>0.5</v>
      </c>
      <c r="O286" s="16">
        <f t="shared" si="14"/>
        <v>2.41095890410959</v>
      </c>
      <c r="P286" s="16">
        <v>13</v>
      </c>
      <c r="Q286" s="16">
        <v>4.39</v>
      </c>
      <c r="R286" s="16">
        <v>0.76</v>
      </c>
      <c r="S286" s="16">
        <v>2.34</v>
      </c>
      <c r="T286" s="16">
        <v>362</v>
      </c>
      <c r="U286" s="25">
        <v>46</v>
      </c>
      <c r="V286" s="15">
        <v>0</v>
      </c>
    </row>
    <row r="287" spans="1:22">
      <c r="A287" s="13">
        <v>1534</v>
      </c>
      <c r="B287" s="14" t="s">
        <v>26</v>
      </c>
      <c r="C287" s="15">
        <v>56</v>
      </c>
      <c r="D287" s="15" t="s">
        <v>23</v>
      </c>
      <c r="E287" s="16" t="s">
        <v>24</v>
      </c>
      <c r="F287" s="16" t="s">
        <v>25</v>
      </c>
      <c r="G287" s="16" t="s">
        <v>25</v>
      </c>
      <c r="H287" s="16">
        <v>2.84</v>
      </c>
      <c r="I287" s="16">
        <v>9.32</v>
      </c>
      <c r="J287" s="16">
        <v>2.69</v>
      </c>
      <c r="K287" s="16">
        <v>0.92</v>
      </c>
      <c r="L287" s="16">
        <v>85</v>
      </c>
      <c r="M287" s="17">
        <f t="shared" si="12"/>
        <v>3.34117647058824</v>
      </c>
      <c r="N287" s="17">
        <f t="shared" si="13"/>
        <v>1.05576208178439</v>
      </c>
      <c r="O287" s="16">
        <f t="shared" si="14"/>
        <v>3.08695652173913</v>
      </c>
      <c r="P287" s="16">
        <v>14.3</v>
      </c>
      <c r="Q287" s="16">
        <v>4.4</v>
      </c>
      <c r="R287" s="16">
        <v>0.88</v>
      </c>
      <c r="S287" s="16">
        <v>2.52</v>
      </c>
      <c r="T287" s="16">
        <v>416</v>
      </c>
      <c r="U287" s="25">
        <v>46</v>
      </c>
      <c r="V287" s="15">
        <v>0</v>
      </c>
    </row>
    <row r="288" spans="1:22">
      <c r="A288" s="13">
        <v>1536</v>
      </c>
      <c r="B288" s="14" t="s">
        <v>26</v>
      </c>
      <c r="C288" s="15">
        <v>67</v>
      </c>
      <c r="D288" s="15" t="s">
        <v>23</v>
      </c>
      <c r="E288" s="16" t="s">
        <v>24</v>
      </c>
      <c r="F288" s="16" t="s">
        <v>25</v>
      </c>
      <c r="G288" s="16" t="s">
        <v>25</v>
      </c>
      <c r="H288" s="16">
        <v>4.97</v>
      </c>
      <c r="I288" s="16">
        <v>14.56</v>
      </c>
      <c r="J288" s="16">
        <v>7.02</v>
      </c>
      <c r="K288" s="16">
        <v>1.14</v>
      </c>
      <c r="M288" s="17" t="e">
        <f t="shared" si="12"/>
        <v>#DIV/0!</v>
      </c>
      <c r="N288" s="17">
        <f t="shared" si="13"/>
        <v>0.707977207977208</v>
      </c>
      <c r="O288" s="16">
        <f t="shared" si="14"/>
        <v>4.35964912280702</v>
      </c>
      <c r="P288" s="16">
        <v>11.9</v>
      </c>
      <c r="Q288" s="16">
        <v>3.88</v>
      </c>
      <c r="R288" s="16">
        <v>5.08</v>
      </c>
      <c r="T288" s="16">
        <v>303</v>
      </c>
      <c r="U288" s="25">
        <v>26</v>
      </c>
      <c r="V288" s="15">
        <v>0</v>
      </c>
    </row>
    <row r="289" spans="1:22">
      <c r="A289" s="13">
        <v>1537</v>
      </c>
      <c r="B289" s="14" t="s">
        <v>26</v>
      </c>
      <c r="C289" s="15">
        <v>67</v>
      </c>
      <c r="D289" s="15" t="s">
        <v>23</v>
      </c>
      <c r="E289" s="16" t="s">
        <v>24</v>
      </c>
      <c r="F289" s="16" t="s">
        <v>25</v>
      </c>
      <c r="G289" s="16" t="s">
        <v>25</v>
      </c>
      <c r="H289" s="16">
        <v>12.53</v>
      </c>
      <c r="I289" s="16">
        <v>15.98</v>
      </c>
      <c r="J289" s="16">
        <v>7.86</v>
      </c>
      <c r="K289" s="16">
        <v>2.64</v>
      </c>
      <c r="L289" s="16">
        <v>68</v>
      </c>
      <c r="M289" s="17">
        <f t="shared" si="12"/>
        <v>18.4264705882353</v>
      </c>
      <c r="N289" s="17">
        <f t="shared" si="13"/>
        <v>1.5941475826972</v>
      </c>
      <c r="O289" s="16">
        <f t="shared" si="14"/>
        <v>4.74621212121212</v>
      </c>
      <c r="P289" s="16">
        <v>14.6</v>
      </c>
      <c r="Q289" s="16">
        <v>5.66</v>
      </c>
      <c r="R289" s="16">
        <v>8.76</v>
      </c>
      <c r="S289" s="16">
        <v>42.45</v>
      </c>
      <c r="T289" s="16">
        <v>249</v>
      </c>
      <c r="U289" s="25">
        <v>49</v>
      </c>
      <c r="V289" s="15">
        <v>0</v>
      </c>
    </row>
    <row r="290" spans="1:22">
      <c r="A290" s="13">
        <v>1538</v>
      </c>
      <c r="B290" s="14" t="s">
        <v>26</v>
      </c>
      <c r="C290" s="15">
        <v>50</v>
      </c>
      <c r="D290" s="15" t="s">
        <v>23</v>
      </c>
      <c r="E290" s="16" t="s">
        <v>24</v>
      </c>
      <c r="F290" s="16" t="s">
        <v>25</v>
      </c>
      <c r="G290" s="16" t="s">
        <v>25</v>
      </c>
      <c r="H290" s="16">
        <v>5.83</v>
      </c>
      <c r="I290" s="16">
        <v>8.01</v>
      </c>
      <c r="J290" s="16">
        <v>6.28</v>
      </c>
      <c r="K290" s="16">
        <v>1.03</v>
      </c>
      <c r="M290" s="17" t="e">
        <f t="shared" si="12"/>
        <v>#DIV/0!</v>
      </c>
      <c r="N290" s="17">
        <f t="shared" si="13"/>
        <v>0.928343949044586</v>
      </c>
      <c r="O290" s="16">
        <f t="shared" si="14"/>
        <v>5.66019417475728</v>
      </c>
      <c r="P290" s="16">
        <v>12.4</v>
      </c>
      <c r="Q290" s="16">
        <v>4.14</v>
      </c>
      <c r="R290" s="16">
        <v>1.17</v>
      </c>
      <c r="T290" s="16">
        <v>130</v>
      </c>
      <c r="U290" s="25">
        <v>29</v>
      </c>
      <c r="V290" s="15">
        <v>1</v>
      </c>
    </row>
    <row r="291" spans="1:22">
      <c r="A291" s="13">
        <v>1539</v>
      </c>
      <c r="B291" s="14" t="s">
        <v>26</v>
      </c>
      <c r="C291" s="15">
        <v>49</v>
      </c>
      <c r="D291" s="15" t="s">
        <v>23</v>
      </c>
      <c r="E291" s="16" t="s">
        <v>24</v>
      </c>
      <c r="F291" s="16" t="s">
        <v>31</v>
      </c>
      <c r="G291" s="16" t="s">
        <v>32</v>
      </c>
      <c r="H291" s="16">
        <v>6.15</v>
      </c>
      <c r="I291" s="16">
        <v>30.91</v>
      </c>
      <c r="J291" s="16">
        <v>13.2</v>
      </c>
      <c r="K291" s="16">
        <v>1.67</v>
      </c>
      <c r="L291" s="16">
        <v>62</v>
      </c>
      <c r="M291" s="17">
        <f t="shared" si="12"/>
        <v>9.91935483870968</v>
      </c>
      <c r="N291" s="17">
        <f t="shared" si="13"/>
        <v>0.465909090909091</v>
      </c>
      <c r="O291" s="16">
        <f t="shared" si="14"/>
        <v>3.68263473053892</v>
      </c>
      <c r="P291" s="16">
        <v>15.2</v>
      </c>
      <c r="Q291" s="16">
        <v>6.8</v>
      </c>
      <c r="R291" s="16">
        <v>7.28</v>
      </c>
      <c r="S291" s="16">
        <v>27.15</v>
      </c>
      <c r="T291" s="16">
        <v>58</v>
      </c>
      <c r="U291" s="25">
        <v>24</v>
      </c>
      <c r="V291" s="15">
        <v>0</v>
      </c>
    </row>
    <row r="292" spans="1:22">
      <c r="A292" s="13">
        <v>1540</v>
      </c>
      <c r="B292" s="14" t="s">
        <v>26</v>
      </c>
      <c r="C292" s="15">
        <v>49</v>
      </c>
      <c r="D292" s="15" t="s">
        <v>23</v>
      </c>
      <c r="E292" s="16" t="s">
        <v>29</v>
      </c>
      <c r="F292" s="16" t="s">
        <v>29</v>
      </c>
      <c r="G292" s="16" t="s">
        <v>29</v>
      </c>
      <c r="H292" s="16">
        <v>2.54</v>
      </c>
      <c r="I292" s="16">
        <v>17</v>
      </c>
      <c r="J292" s="16">
        <v>4.58</v>
      </c>
      <c r="K292" s="16">
        <v>0.9</v>
      </c>
      <c r="L292" s="16">
        <v>75</v>
      </c>
      <c r="M292" s="17">
        <f t="shared" si="12"/>
        <v>3.38666666666667</v>
      </c>
      <c r="N292" s="17">
        <f t="shared" si="13"/>
        <v>0.554585152838428</v>
      </c>
      <c r="O292" s="16">
        <f t="shared" si="14"/>
        <v>2.82222222222222</v>
      </c>
      <c r="P292" s="16">
        <v>15.8</v>
      </c>
      <c r="Q292" s="16">
        <v>3.22</v>
      </c>
      <c r="R292" s="16">
        <v>2.72</v>
      </c>
      <c r="S292" s="16">
        <v>12.44</v>
      </c>
      <c r="T292" s="16">
        <v>10</v>
      </c>
      <c r="U292" s="25">
        <v>24</v>
      </c>
      <c r="V292" s="15">
        <v>0</v>
      </c>
    </row>
    <row r="293" spans="1:22">
      <c r="A293" s="13">
        <v>1541</v>
      </c>
      <c r="B293" s="14" t="s">
        <v>26</v>
      </c>
      <c r="C293" s="15">
        <v>86</v>
      </c>
      <c r="D293" s="15" t="s">
        <v>23</v>
      </c>
      <c r="E293" s="16" t="s">
        <v>24</v>
      </c>
      <c r="F293" s="16" t="s">
        <v>25</v>
      </c>
      <c r="G293" s="16" t="s">
        <v>25</v>
      </c>
      <c r="H293" s="16">
        <v>3.65</v>
      </c>
      <c r="I293" s="16">
        <v>9.93</v>
      </c>
      <c r="J293" s="16">
        <v>7.66</v>
      </c>
      <c r="K293" s="16">
        <v>0.75</v>
      </c>
      <c r="L293" s="16">
        <v>56</v>
      </c>
      <c r="M293" s="17">
        <f t="shared" si="12"/>
        <v>6.51785714285714</v>
      </c>
      <c r="N293" s="17">
        <f t="shared" si="13"/>
        <v>0.476501305483029</v>
      </c>
      <c r="O293" s="16">
        <f t="shared" si="14"/>
        <v>4.86666666666667</v>
      </c>
      <c r="P293" s="16">
        <v>13.2</v>
      </c>
      <c r="Q293" s="16">
        <v>3.57</v>
      </c>
      <c r="R293" s="16">
        <v>2.3</v>
      </c>
      <c r="S293" s="16">
        <v>6.38</v>
      </c>
      <c r="T293" s="16">
        <v>188</v>
      </c>
      <c r="U293" s="25">
        <v>28</v>
      </c>
      <c r="V293" s="15">
        <v>0</v>
      </c>
    </row>
    <row r="294" spans="1:22">
      <c r="A294" s="13">
        <v>1542</v>
      </c>
      <c r="B294" s="14" t="s">
        <v>26</v>
      </c>
      <c r="C294" s="15">
        <v>92</v>
      </c>
      <c r="D294" s="15" t="s">
        <v>23</v>
      </c>
      <c r="E294" s="16" t="s">
        <v>24</v>
      </c>
      <c r="F294" s="16" t="s">
        <v>25</v>
      </c>
      <c r="G294" s="16" t="s">
        <v>25</v>
      </c>
      <c r="H294" s="16">
        <v>3</v>
      </c>
      <c r="I294" s="16">
        <v>11.15</v>
      </c>
      <c r="J294" s="16">
        <v>1.09</v>
      </c>
      <c r="K294" s="16">
        <v>1.92</v>
      </c>
      <c r="L294" s="16">
        <v>52</v>
      </c>
      <c r="M294" s="17">
        <f t="shared" si="12"/>
        <v>5.76923076923077</v>
      </c>
      <c r="N294" s="17">
        <f t="shared" si="13"/>
        <v>2.75229357798165</v>
      </c>
      <c r="O294" s="16">
        <f t="shared" si="14"/>
        <v>1.5625</v>
      </c>
      <c r="P294" s="16">
        <v>15.5</v>
      </c>
      <c r="Q294" s="16">
        <v>5.07</v>
      </c>
      <c r="R294" s="16">
        <v>2.87</v>
      </c>
      <c r="S294" s="16">
        <v>11.64</v>
      </c>
      <c r="T294" s="16">
        <v>247</v>
      </c>
      <c r="U294" s="25">
        <v>34</v>
      </c>
      <c r="V294" s="15">
        <v>1</v>
      </c>
    </row>
    <row r="295" spans="1:22">
      <c r="A295" s="13">
        <v>1543</v>
      </c>
      <c r="B295" s="14" t="s">
        <v>26</v>
      </c>
      <c r="C295" s="15">
        <v>92</v>
      </c>
      <c r="D295" s="15" t="s">
        <v>23</v>
      </c>
      <c r="E295" s="16" t="s">
        <v>24</v>
      </c>
      <c r="F295" s="16" t="s">
        <v>25</v>
      </c>
      <c r="G295" s="16" t="s">
        <v>25</v>
      </c>
      <c r="H295" s="16">
        <v>4.26</v>
      </c>
      <c r="I295" s="16">
        <v>8.62</v>
      </c>
      <c r="J295" s="16">
        <v>4.42</v>
      </c>
      <c r="K295" s="16">
        <v>0.75</v>
      </c>
      <c r="L295" s="16">
        <v>41</v>
      </c>
      <c r="M295" s="17">
        <f t="shared" si="12"/>
        <v>10.390243902439</v>
      </c>
      <c r="N295" s="17">
        <f t="shared" si="13"/>
        <v>0.963800904977376</v>
      </c>
      <c r="O295" s="16">
        <f t="shared" si="14"/>
        <v>5.68</v>
      </c>
      <c r="P295" s="16">
        <v>15.2</v>
      </c>
      <c r="Q295" s="16">
        <v>5.26</v>
      </c>
      <c r="R295" s="16">
        <v>1.83</v>
      </c>
      <c r="S295" s="16">
        <v>4.79</v>
      </c>
      <c r="T295" s="16">
        <v>57</v>
      </c>
      <c r="U295" s="25">
        <v>34</v>
      </c>
      <c r="V295" s="15">
        <v>1</v>
      </c>
    </row>
    <row r="296" spans="1:22">
      <c r="A296" s="13">
        <v>1544</v>
      </c>
      <c r="B296" s="14" t="s">
        <v>22</v>
      </c>
      <c r="C296" s="15">
        <v>40</v>
      </c>
      <c r="D296" s="22" t="s">
        <v>28</v>
      </c>
      <c r="E296" s="16" t="s">
        <v>24</v>
      </c>
      <c r="F296" s="16" t="s">
        <v>25</v>
      </c>
      <c r="G296" s="16" t="s">
        <v>25</v>
      </c>
      <c r="H296" s="16">
        <v>3.3</v>
      </c>
      <c r="I296" s="16">
        <v>21.34</v>
      </c>
      <c r="J296" s="16">
        <v>14.63</v>
      </c>
      <c r="K296" s="16">
        <v>3.82</v>
      </c>
      <c r="M296" s="17" t="e">
        <f t="shared" si="12"/>
        <v>#DIV/0!</v>
      </c>
      <c r="N296" s="17">
        <f t="shared" si="13"/>
        <v>0.225563909774436</v>
      </c>
      <c r="O296" s="16">
        <f t="shared" si="14"/>
        <v>0.863874345549738</v>
      </c>
      <c r="P296" s="16">
        <v>10.3</v>
      </c>
      <c r="Q296" s="16">
        <v>2.28</v>
      </c>
      <c r="R296" s="16">
        <v>2.5</v>
      </c>
      <c r="T296" s="16">
        <v>140</v>
      </c>
      <c r="U296" s="25">
        <v>18</v>
      </c>
      <c r="V296" s="15">
        <v>0</v>
      </c>
    </row>
    <row r="297" spans="1:22">
      <c r="A297" s="13">
        <v>1546</v>
      </c>
      <c r="B297" s="14" t="s">
        <v>26</v>
      </c>
      <c r="C297" s="15">
        <v>55</v>
      </c>
      <c r="D297" s="15" t="s">
        <v>27</v>
      </c>
      <c r="E297" s="16" t="s">
        <v>24</v>
      </c>
      <c r="F297" s="16" t="s">
        <v>25</v>
      </c>
      <c r="G297" s="16" t="s">
        <v>25</v>
      </c>
      <c r="H297" s="16">
        <v>12.65</v>
      </c>
      <c r="I297" s="16">
        <v>9.05</v>
      </c>
      <c r="J297" s="16">
        <v>8.27</v>
      </c>
      <c r="K297" s="16">
        <v>1.6</v>
      </c>
      <c r="L297" s="16">
        <v>68</v>
      </c>
      <c r="M297" s="17">
        <f t="shared" si="12"/>
        <v>18.6029411764706</v>
      </c>
      <c r="N297" s="17">
        <f t="shared" si="13"/>
        <v>1.52962515114873</v>
      </c>
      <c r="O297" s="16">
        <f t="shared" si="14"/>
        <v>7.90625</v>
      </c>
      <c r="P297" s="16">
        <v>16.3</v>
      </c>
      <c r="Q297" s="16">
        <v>5.24</v>
      </c>
      <c r="R297" s="16">
        <v>3.46</v>
      </c>
      <c r="S297" s="16">
        <v>12.97</v>
      </c>
      <c r="T297" s="16">
        <v>213</v>
      </c>
      <c r="U297" s="25">
        <v>20</v>
      </c>
      <c r="V297" s="15">
        <v>0</v>
      </c>
    </row>
    <row r="298" spans="1:22">
      <c r="A298" s="13">
        <v>1547</v>
      </c>
      <c r="B298" s="14" t="s">
        <v>22</v>
      </c>
      <c r="C298" s="15">
        <v>80</v>
      </c>
      <c r="D298" s="22" t="s">
        <v>28</v>
      </c>
      <c r="E298" s="16" t="s">
        <v>29</v>
      </c>
      <c r="F298" s="16" t="s">
        <v>29</v>
      </c>
      <c r="G298" s="16" t="s">
        <v>29</v>
      </c>
      <c r="H298" s="16">
        <v>4.76</v>
      </c>
      <c r="I298" s="16">
        <v>10.57</v>
      </c>
      <c r="J298" s="16">
        <v>11.6</v>
      </c>
      <c r="K298" s="16">
        <v>0.77</v>
      </c>
      <c r="L298" s="16">
        <v>38</v>
      </c>
      <c r="M298" s="17">
        <f t="shared" si="12"/>
        <v>12.5263157894737</v>
      </c>
      <c r="N298" s="17">
        <f t="shared" si="13"/>
        <v>0.410344827586207</v>
      </c>
      <c r="O298" s="16">
        <f t="shared" si="14"/>
        <v>6.18181818181818</v>
      </c>
      <c r="P298" s="16">
        <v>20.3</v>
      </c>
      <c r="Q298" s="16">
        <v>2.66</v>
      </c>
      <c r="R298" s="16">
        <v>2.69</v>
      </c>
      <c r="S298" s="16">
        <v>14.86</v>
      </c>
      <c r="T298" s="16">
        <v>36</v>
      </c>
      <c r="U298" s="25">
        <v>31</v>
      </c>
      <c r="V298" s="15">
        <v>0</v>
      </c>
    </row>
    <row r="299" spans="1:22">
      <c r="A299" s="13">
        <v>1548</v>
      </c>
      <c r="B299" s="14" t="s">
        <v>22</v>
      </c>
      <c r="C299" s="15">
        <v>80</v>
      </c>
      <c r="D299" s="22" t="s">
        <v>28</v>
      </c>
      <c r="E299" s="16" t="s">
        <v>24</v>
      </c>
      <c r="F299" s="16" t="s">
        <v>31</v>
      </c>
      <c r="G299" s="16" t="s">
        <v>33</v>
      </c>
      <c r="H299" s="16">
        <v>5.23</v>
      </c>
      <c r="I299" s="16">
        <v>8.2</v>
      </c>
      <c r="J299" s="16">
        <v>7.82</v>
      </c>
      <c r="K299" s="16">
        <v>0.87</v>
      </c>
      <c r="M299" s="17" t="e">
        <f t="shared" si="12"/>
        <v>#DIV/0!</v>
      </c>
      <c r="N299" s="17">
        <f t="shared" si="13"/>
        <v>0.668797953964194</v>
      </c>
      <c r="O299" s="16">
        <f t="shared" si="14"/>
        <v>6.01149425287356</v>
      </c>
      <c r="P299" s="16">
        <v>16.4</v>
      </c>
      <c r="Q299" s="16">
        <v>2.99</v>
      </c>
      <c r="T299" s="16">
        <v>50</v>
      </c>
      <c r="U299" s="25">
        <v>31</v>
      </c>
      <c r="V299" s="15">
        <v>0</v>
      </c>
    </row>
    <row r="300" spans="1:22">
      <c r="A300" s="13">
        <v>1550</v>
      </c>
      <c r="B300" s="14" t="s">
        <v>22</v>
      </c>
      <c r="C300" s="15">
        <v>89</v>
      </c>
      <c r="D300" s="15" t="s">
        <v>23</v>
      </c>
      <c r="E300" s="16" t="s">
        <v>24</v>
      </c>
      <c r="F300" s="16" t="s">
        <v>25</v>
      </c>
      <c r="G300" s="16" t="s">
        <v>25</v>
      </c>
      <c r="H300" s="16">
        <v>21.23</v>
      </c>
      <c r="I300" s="16">
        <v>19.2</v>
      </c>
      <c r="J300" s="16">
        <v>13.53</v>
      </c>
      <c r="K300" s="16">
        <v>1.77</v>
      </c>
      <c r="M300" s="17" t="e">
        <f t="shared" si="12"/>
        <v>#DIV/0!</v>
      </c>
      <c r="N300" s="17">
        <f t="shared" si="13"/>
        <v>1.56910569105691</v>
      </c>
      <c r="O300" s="16">
        <f t="shared" si="14"/>
        <v>11.9943502824859</v>
      </c>
      <c r="P300" s="16">
        <v>12.2</v>
      </c>
      <c r="Q300" s="16">
        <v>6.8</v>
      </c>
      <c r="R300" s="16">
        <v>2.13</v>
      </c>
      <c r="T300" s="16">
        <v>162</v>
      </c>
      <c r="U300" s="25">
        <v>15</v>
      </c>
      <c r="V300" s="15">
        <v>1</v>
      </c>
    </row>
    <row r="301" spans="1:22">
      <c r="A301" s="13">
        <v>1551</v>
      </c>
      <c r="B301" s="14" t="s">
        <v>22</v>
      </c>
      <c r="C301" s="15">
        <v>66</v>
      </c>
      <c r="D301" s="15" t="s">
        <v>23</v>
      </c>
      <c r="E301" s="16" t="s">
        <v>24</v>
      </c>
      <c r="F301" s="16" t="s">
        <v>25</v>
      </c>
      <c r="G301" s="16" t="s">
        <v>25</v>
      </c>
      <c r="H301" s="16">
        <v>7.15</v>
      </c>
      <c r="I301" s="16">
        <v>20.63</v>
      </c>
      <c r="J301" s="16">
        <v>15.23</v>
      </c>
      <c r="K301" s="16">
        <v>2.58</v>
      </c>
      <c r="L301" s="16">
        <v>79</v>
      </c>
      <c r="M301" s="17">
        <f t="shared" si="12"/>
        <v>9.05063291139241</v>
      </c>
      <c r="N301" s="17">
        <f t="shared" si="13"/>
        <v>0.469468154957321</v>
      </c>
      <c r="O301" s="16">
        <f t="shared" si="14"/>
        <v>2.77131782945736</v>
      </c>
      <c r="P301" s="16">
        <v>17.7</v>
      </c>
      <c r="Q301" s="16">
        <v>6.07</v>
      </c>
      <c r="R301" s="16">
        <v>8.78</v>
      </c>
      <c r="S301" s="16">
        <v>28.58</v>
      </c>
      <c r="T301" s="16">
        <v>709</v>
      </c>
      <c r="U301" s="25">
        <v>11</v>
      </c>
      <c r="V301" s="15">
        <v>1</v>
      </c>
    </row>
    <row r="302" spans="1:22">
      <c r="A302" s="13">
        <v>1552</v>
      </c>
      <c r="B302" s="14" t="s">
        <v>26</v>
      </c>
      <c r="C302" s="15">
        <v>53</v>
      </c>
      <c r="D302" s="15" t="s">
        <v>27</v>
      </c>
      <c r="E302" s="16" t="s">
        <v>29</v>
      </c>
      <c r="F302" s="16" t="s">
        <v>29</v>
      </c>
      <c r="G302" s="16" t="s">
        <v>29</v>
      </c>
      <c r="H302" s="16">
        <v>33.38</v>
      </c>
      <c r="I302" s="16">
        <v>18.49</v>
      </c>
      <c r="J302" s="16">
        <v>7.59</v>
      </c>
      <c r="K302" s="16">
        <v>2.04</v>
      </c>
      <c r="L302" s="16">
        <v>47</v>
      </c>
      <c r="M302" s="17">
        <f t="shared" si="12"/>
        <v>71.0212765957447</v>
      </c>
      <c r="N302" s="17">
        <f t="shared" si="13"/>
        <v>4.39789196310935</v>
      </c>
      <c r="O302" s="16">
        <f t="shared" si="14"/>
        <v>16.3627450980392</v>
      </c>
      <c r="P302" s="16">
        <v>13</v>
      </c>
      <c r="Q302" s="16">
        <v>4.98</v>
      </c>
      <c r="R302" s="16">
        <v>7.07</v>
      </c>
      <c r="S302" s="16">
        <v>26.96</v>
      </c>
      <c r="T302" s="16">
        <v>27</v>
      </c>
      <c r="U302" s="25">
        <v>17</v>
      </c>
      <c r="V302" s="15">
        <v>0</v>
      </c>
    </row>
    <row r="303" spans="1:22">
      <c r="A303" s="13">
        <v>1554</v>
      </c>
      <c r="B303" s="14" t="s">
        <v>26</v>
      </c>
      <c r="C303" s="15">
        <v>68</v>
      </c>
      <c r="D303" s="15" t="s">
        <v>23</v>
      </c>
      <c r="E303" s="16" t="s">
        <v>24</v>
      </c>
      <c r="F303" s="16" t="s">
        <v>25</v>
      </c>
      <c r="G303" s="16" t="s">
        <v>25</v>
      </c>
      <c r="H303" s="16">
        <v>8.49</v>
      </c>
      <c r="I303" s="16">
        <v>43.61</v>
      </c>
      <c r="J303" s="16">
        <v>12.46</v>
      </c>
      <c r="K303" s="16">
        <v>0.67</v>
      </c>
      <c r="M303" s="17" t="e">
        <f t="shared" si="12"/>
        <v>#DIV/0!</v>
      </c>
      <c r="N303" s="17">
        <f t="shared" si="13"/>
        <v>0.681380417335473</v>
      </c>
      <c r="O303" s="16">
        <f t="shared" si="14"/>
        <v>12.6716417910448</v>
      </c>
      <c r="P303" s="16">
        <v>13.2</v>
      </c>
      <c r="Q303" s="16">
        <v>3.48</v>
      </c>
      <c r="R303" s="16">
        <v>3.63</v>
      </c>
      <c r="T303" s="16">
        <v>174</v>
      </c>
      <c r="U303" s="25">
        <v>28</v>
      </c>
      <c r="V303" s="15">
        <v>0</v>
      </c>
    </row>
    <row r="304" spans="1:22">
      <c r="A304" s="13">
        <v>1556</v>
      </c>
      <c r="B304" s="14" t="s">
        <v>22</v>
      </c>
      <c r="C304" s="15">
        <v>56</v>
      </c>
      <c r="D304" s="15" t="s">
        <v>23</v>
      </c>
      <c r="E304" s="16" t="s">
        <v>24</v>
      </c>
      <c r="F304" s="16" t="s">
        <v>25</v>
      </c>
      <c r="G304" s="16" t="s">
        <v>25</v>
      </c>
      <c r="H304" s="16">
        <v>1.78</v>
      </c>
      <c r="I304" s="16">
        <v>17.27</v>
      </c>
      <c r="J304" s="16">
        <v>7.61</v>
      </c>
      <c r="K304" s="16">
        <v>0.64</v>
      </c>
      <c r="L304" s="16">
        <v>74</v>
      </c>
      <c r="M304" s="17">
        <f t="shared" si="12"/>
        <v>2.40540540540541</v>
      </c>
      <c r="N304" s="17">
        <f t="shared" si="13"/>
        <v>0.233902759526938</v>
      </c>
      <c r="O304" s="16">
        <f t="shared" si="14"/>
        <v>2.78125</v>
      </c>
      <c r="P304" s="16">
        <v>14.6</v>
      </c>
      <c r="Q304" s="16">
        <v>3.27</v>
      </c>
      <c r="R304" s="16">
        <v>2.42</v>
      </c>
      <c r="S304" s="16">
        <v>6.68</v>
      </c>
      <c r="T304" s="16">
        <v>384</v>
      </c>
      <c r="U304" s="25">
        <v>20</v>
      </c>
      <c r="V304" s="15">
        <v>0</v>
      </c>
    </row>
    <row r="305" spans="1:22">
      <c r="A305" s="13">
        <v>1557</v>
      </c>
      <c r="B305" s="14" t="s">
        <v>22</v>
      </c>
      <c r="C305" s="15">
        <v>75</v>
      </c>
      <c r="D305" s="15" t="s">
        <v>23</v>
      </c>
      <c r="E305" s="16" t="s">
        <v>24</v>
      </c>
      <c r="F305" s="16" t="s">
        <v>31</v>
      </c>
      <c r="G305" s="16" t="s">
        <v>33</v>
      </c>
      <c r="H305" s="16">
        <v>2.02</v>
      </c>
      <c r="I305" s="16">
        <v>27.87</v>
      </c>
      <c r="J305" s="16">
        <v>13.24</v>
      </c>
      <c r="K305" s="16">
        <v>0.55</v>
      </c>
      <c r="M305" s="17" t="e">
        <f t="shared" si="12"/>
        <v>#DIV/0!</v>
      </c>
      <c r="N305" s="17">
        <f t="shared" si="13"/>
        <v>0.152567975830816</v>
      </c>
      <c r="O305" s="16">
        <f t="shared" si="14"/>
        <v>3.67272727272727</v>
      </c>
      <c r="P305" s="16">
        <v>11.3</v>
      </c>
      <c r="Q305" s="16">
        <v>5</v>
      </c>
      <c r="R305" s="16">
        <v>2.43</v>
      </c>
      <c r="T305" s="16">
        <v>175</v>
      </c>
      <c r="U305" s="25">
        <v>20</v>
      </c>
      <c r="V305" s="15">
        <v>1</v>
      </c>
    </row>
    <row r="306" spans="1:22">
      <c r="A306" s="13">
        <v>1558</v>
      </c>
      <c r="B306" s="14" t="s">
        <v>22</v>
      </c>
      <c r="C306" s="15">
        <v>56</v>
      </c>
      <c r="D306" s="22" t="s">
        <v>36</v>
      </c>
      <c r="E306" s="16" t="s">
        <v>29</v>
      </c>
      <c r="F306" s="16" t="s">
        <v>29</v>
      </c>
      <c r="G306" s="16" t="s">
        <v>29</v>
      </c>
      <c r="H306" s="16">
        <v>216.8</v>
      </c>
      <c r="I306" s="16">
        <v>54.88</v>
      </c>
      <c r="J306" s="16">
        <v>9.29</v>
      </c>
      <c r="K306" s="16">
        <v>12.72</v>
      </c>
      <c r="L306" s="16">
        <v>104</v>
      </c>
      <c r="M306" s="17">
        <f t="shared" si="12"/>
        <v>208.461538461538</v>
      </c>
      <c r="N306" s="17">
        <f t="shared" si="13"/>
        <v>23.3369214208827</v>
      </c>
      <c r="O306" s="16">
        <f t="shared" si="14"/>
        <v>17.0440251572327</v>
      </c>
      <c r="P306" s="16">
        <v>12.8</v>
      </c>
      <c r="Q306" s="16">
        <v>1.9</v>
      </c>
      <c r="R306" s="16">
        <v>112.52</v>
      </c>
      <c r="T306" s="16">
        <v>23</v>
      </c>
      <c r="U306" s="25">
        <v>18</v>
      </c>
      <c r="V306" s="15">
        <v>1</v>
      </c>
    </row>
    <row r="307" spans="1:22">
      <c r="A307" s="13">
        <v>1559</v>
      </c>
      <c r="B307" s="14" t="s">
        <v>22</v>
      </c>
      <c r="C307" s="15">
        <v>57</v>
      </c>
      <c r="D307" s="15" t="s">
        <v>27</v>
      </c>
      <c r="E307" s="16" t="s">
        <v>29</v>
      </c>
      <c r="F307" s="16" t="s">
        <v>29</v>
      </c>
      <c r="G307" s="16" t="s">
        <v>29</v>
      </c>
      <c r="H307" s="16">
        <v>3.35</v>
      </c>
      <c r="I307" s="16">
        <v>28.5</v>
      </c>
      <c r="J307" s="16">
        <v>7.95</v>
      </c>
      <c r="K307" s="16">
        <v>0.84</v>
      </c>
      <c r="L307" s="16">
        <v>54</v>
      </c>
      <c r="M307" s="17">
        <f t="shared" si="12"/>
        <v>6.2037037037037</v>
      </c>
      <c r="N307" s="17">
        <f t="shared" si="13"/>
        <v>0.421383647798742</v>
      </c>
      <c r="O307" s="16">
        <f t="shared" si="14"/>
        <v>3.98809523809524</v>
      </c>
      <c r="P307" s="16">
        <v>13.6</v>
      </c>
      <c r="Q307" s="16">
        <v>2.45</v>
      </c>
      <c r="R307" s="16">
        <v>2.5</v>
      </c>
      <c r="T307" s="16">
        <v>23</v>
      </c>
      <c r="U307" s="25">
        <v>24</v>
      </c>
      <c r="V307" s="15">
        <v>1</v>
      </c>
    </row>
    <row r="308" spans="1:22">
      <c r="A308" s="13">
        <v>1560</v>
      </c>
      <c r="B308" s="14" t="s">
        <v>26</v>
      </c>
      <c r="C308" s="15">
        <v>69</v>
      </c>
      <c r="D308" s="15" t="s">
        <v>23</v>
      </c>
      <c r="E308" s="16" t="s">
        <v>24</v>
      </c>
      <c r="F308" s="16" t="s">
        <v>31</v>
      </c>
      <c r="G308" s="16" t="s">
        <v>32</v>
      </c>
      <c r="H308" s="16">
        <v>23.48</v>
      </c>
      <c r="I308" s="16">
        <v>33.93</v>
      </c>
      <c r="J308" s="16">
        <v>43.55</v>
      </c>
      <c r="K308" s="16">
        <v>1.49</v>
      </c>
      <c r="L308" s="16">
        <v>162</v>
      </c>
      <c r="M308" s="17">
        <f t="shared" si="12"/>
        <v>14.4938271604938</v>
      </c>
      <c r="N308" s="17">
        <f t="shared" si="13"/>
        <v>0.539150401836969</v>
      </c>
      <c r="O308" s="16">
        <f t="shared" si="14"/>
        <v>15.758389261745</v>
      </c>
      <c r="P308" s="16">
        <v>16.3</v>
      </c>
      <c r="Q308" s="16">
        <v>8.4</v>
      </c>
      <c r="R308" s="16">
        <v>1.93</v>
      </c>
      <c r="S308" s="16">
        <v>9.25</v>
      </c>
      <c r="T308" s="16">
        <v>349</v>
      </c>
      <c r="U308" s="25">
        <v>25</v>
      </c>
      <c r="V308" s="15">
        <v>0</v>
      </c>
    </row>
    <row r="309" spans="1:22">
      <c r="A309" s="13">
        <v>1561</v>
      </c>
      <c r="B309" s="14" t="s">
        <v>22</v>
      </c>
      <c r="C309" s="15">
        <v>80</v>
      </c>
      <c r="D309" s="22" t="s">
        <v>28</v>
      </c>
      <c r="E309" s="16" t="s">
        <v>24</v>
      </c>
      <c r="F309" s="16" t="s">
        <v>31</v>
      </c>
      <c r="G309" s="16" t="s">
        <v>32</v>
      </c>
      <c r="H309" s="16">
        <v>25.55</v>
      </c>
      <c r="I309" s="16">
        <v>17.91</v>
      </c>
      <c r="J309" s="16">
        <v>7.39</v>
      </c>
      <c r="K309" s="16">
        <v>1.89</v>
      </c>
      <c r="L309" s="16">
        <v>91</v>
      </c>
      <c r="M309" s="17">
        <f t="shared" si="12"/>
        <v>28.0769230769231</v>
      </c>
      <c r="N309" s="17">
        <f t="shared" si="13"/>
        <v>3.4573748308525</v>
      </c>
      <c r="O309" s="16">
        <f t="shared" si="14"/>
        <v>13.5185185185185</v>
      </c>
      <c r="P309" s="16">
        <v>14.4</v>
      </c>
      <c r="Q309" s="16">
        <v>4.22</v>
      </c>
      <c r="R309" s="16">
        <v>8.16</v>
      </c>
      <c r="S309" s="16">
        <v>28.02</v>
      </c>
      <c r="T309" s="16">
        <v>69</v>
      </c>
      <c r="U309" s="25">
        <v>32</v>
      </c>
      <c r="V309" s="15">
        <v>1</v>
      </c>
    </row>
    <row r="310" spans="1:22">
      <c r="A310" s="13">
        <v>1563</v>
      </c>
      <c r="B310" s="14" t="s">
        <v>22</v>
      </c>
      <c r="C310" s="15">
        <v>73</v>
      </c>
      <c r="D310" s="15" t="s">
        <v>23</v>
      </c>
      <c r="E310" s="16" t="s">
        <v>24</v>
      </c>
      <c r="F310" s="16" t="s">
        <v>25</v>
      </c>
      <c r="G310" s="16" t="s">
        <v>25</v>
      </c>
      <c r="H310" s="16">
        <v>10.35</v>
      </c>
      <c r="I310" s="16">
        <v>11.29</v>
      </c>
      <c r="J310" s="16">
        <v>11.53</v>
      </c>
      <c r="K310" s="16">
        <v>1.24</v>
      </c>
      <c r="M310" s="17" t="e">
        <f t="shared" si="12"/>
        <v>#DIV/0!</v>
      </c>
      <c r="N310" s="17">
        <f t="shared" si="13"/>
        <v>0.897658282740676</v>
      </c>
      <c r="O310" s="16">
        <f t="shared" si="14"/>
        <v>8.34677419354839</v>
      </c>
      <c r="P310" s="16">
        <v>14.1</v>
      </c>
      <c r="Q310" s="16">
        <v>6.88</v>
      </c>
      <c r="T310" s="16">
        <v>200</v>
      </c>
      <c r="U310" s="25">
        <v>17</v>
      </c>
      <c r="V310" s="15">
        <v>1</v>
      </c>
    </row>
    <row r="311" spans="1:22">
      <c r="A311" s="13">
        <v>1564</v>
      </c>
      <c r="B311" s="14" t="s">
        <v>22</v>
      </c>
      <c r="C311" s="15">
        <v>52</v>
      </c>
      <c r="D311" s="15" t="s">
        <v>27</v>
      </c>
      <c r="E311" s="16" t="s">
        <v>24</v>
      </c>
      <c r="F311" s="16" t="s">
        <v>31</v>
      </c>
      <c r="G311" s="16" t="s">
        <v>33</v>
      </c>
      <c r="H311" s="16">
        <v>10.88</v>
      </c>
      <c r="I311" s="16">
        <v>16.65</v>
      </c>
      <c r="J311" s="16">
        <v>31.61</v>
      </c>
      <c r="K311" s="16">
        <v>0.77</v>
      </c>
      <c r="L311" s="16">
        <v>49</v>
      </c>
      <c r="M311" s="17">
        <f t="shared" si="12"/>
        <v>22.2040816326531</v>
      </c>
      <c r="N311" s="17">
        <f t="shared" si="13"/>
        <v>0.344194875039544</v>
      </c>
      <c r="O311" s="16">
        <f t="shared" si="14"/>
        <v>14.1298701298701</v>
      </c>
      <c r="P311" s="16">
        <v>11.1</v>
      </c>
      <c r="Q311" s="16">
        <v>2.98</v>
      </c>
      <c r="R311" s="16">
        <v>5.87</v>
      </c>
      <c r="T311" s="16">
        <v>87</v>
      </c>
      <c r="U311" s="25">
        <v>31</v>
      </c>
      <c r="V311" s="15">
        <v>1</v>
      </c>
    </row>
    <row r="312" spans="1:22">
      <c r="A312" s="13">
        <v>1565</v>
      </c>
      <c r="B312" s="14" t="s">
        <v>26</v>
      </c>
      <c r="C312" s="15">
        <v>79</v>
      </c>
      <c r="D312" s="15" t="s">
        <v>23</v>
      </c>
      <c r="E312" s="16" t="s">
        <v>24</v>
      </c>
      <c r="F312" s="16" t="s">
        <v>25</v>
      </c>
      <c r="G312" s="16" t="s">
        <v>25</v>
      </c>
      <c r="H312" s="16">
        <v>3.78</v>
      </c>
      <c r="I312" s="16">
        <v>11.1</v>
      </c>
      <c r="J312" s="16">
        <v>14.49</v>
      </c>
      <c r="K312" s="16">
        <v>0.99</v>
      </c>
      <c r="L312" s="16">
        <v>75</v>
      </c>
      <c r="M312" s="17">
        <f t="shared" si="12"/>
        <v>5.04</v>
      </c>
      <c r="N312" s="17">
        <f t="shared" si="13"/>
        <v>0.260869565217391</v>
      </c>
      <c r="O312" s="16">
        <f t="shared" si="14"/>
        <v>3.81818181818182</v>
      </c>
      <c r="P312" s="16">
        <v>20</v>
      </c>
      <c r="Q312" s="16">
        <v>4.82</v>
      </c>
      <c r="R312" s="16">
        <v>1.8</v>
      </c>
      <c r="S312" s="16">
        <v>6.52</v>
      </c>
      <c r="T312" s="16">
        <v>230</v>
      </c>
      <c r="U312" s="25">
        <v>23</v>
      </c>
      <c r="V312" s="15">
        <v>0</v>
      </c>
    </row>
    <row r="313" spans="1:22">
      <c r="A313" s="13">
        <v>1567</v>
      </c>
      <c r="B313" s="14" t="s">
        <v>26</v>
      </c>
      <c r="C313" s="15">
        <v>67</v>
      </c>
      <c r="D313" s="22" t="s">
        <v>28</v>
      </c>
      <c r="E313" s="16" t="s">
        <v>24</v>
      </c>
      <c r="F313" s="16" t="s">
        <v>25</v>
      </c>
      <c r="G313" s="16" t="s">
        <v>25</v>
      </c>
      <c r="H313" s="16">
        <v>12.46</v>
      </c>
      <c r="I313" s="16">
        <v>16.88</v>
      </c>
      <c r="J313" s="16">
        <v>8.54</v>
      </c>
      <c r="K313" s="16">
        <v>0.92</v>
      </c>
      <c r="L313" s="16">
        <v>87</v>
      </c>
      <c r="M313" s="17">
        <f t="shared" si="12"/>
        <v>14.3218390804598</v>
      </c>
      <c r="N313" s="17">
        <f t="shared" si="13"/>
        <v>1.45901639344262</v>
      </c>
      <c r="O313" s="16">
        <f t="shared" si="14"/>
        <v>13.5434782608696</v>
      </c>
      <c r="P313" s="16">
        <v>13.7</v>
      </c>
      <c r="Q313" s="16">
        <v>4.41</v>
      </c>
      <c r="R313" s="16">
        <v>3.07</v>
      </c>
      <c r="S313" s="16">
        <v>12.08</v>
      </c>
      <c r="T313" s="16">
        <v>167</v>
      </c>
      <c r="U313" s="25">
        <v>14</v>
      </c>
      <c r="V313" s="15">
        <v>0</v>
      </c>
    </row>
    <row r="314" spans="1:22">
      <c r="A314" s="13">
        <v>1568</v>
      </c>
      <c r="B314" s="14" t="s">
        <v>26</v>
      </c>
      <c r="C314" s="15">
        <v>54</v>
      </c>
      <c r="D314" s="15" t="s">
        <v>23</v>
      </c>
      <c r="E314" s="16" t="s">
        <v>29</v>
      </c>
      <c r="F314" s="16" t="s">
        <v>29</v>
      </c>
      <c r="G314" s="16" t="s">
        <v>29</v>
      </c>
      <c r="H314" s="16">
        <v>58.42</v>
      </c>
      <c r="I314" s="16">
        <v>25.73</v>
      </c>
      <c r="J314" s="16">
        <v>12.6</v>
      </c>
      <c r="K314" s="16">
        <v>1.11</v>
      </c>
      <c r="L314" s="16">
        <v>36</v>
      </c>
      <c r="M314" s="17">
        <f t="shared" si="12"/>
        <v>162.277777777778</v>
      </c>
      <c r="N314" s="17">
        <f t="shared" si="13"/>
        <v>4.63650793650794</v>
      </c>
      <c r="O314" s="16">
        <f t="shared" si="14"/>
        <v>52.6306306306306</v>
      </c>
      <c r="P314" s="16">
        <v>15.8</v>
      </c>
      <c r="Q314" s="16">
        <v>2.68</v>
      </c>
      <c r="R314" s="16">
        <v>4.8</v>
      </c>
      <c r="S314" s="16">
        <v>11.47</v>
      </c>
      <c r="T314" s="16">
        <v>38</v>
      </c>
      <c r="U314" s="25">
        <v>59</v>
      </c>
      <c r="V314" s="15">
        <v>1</v>
      </c>
    </row>
    <row r="315" spans="1:22">
      <c r="A315" s="13">
        <v>1569</v>
      </c>
      <c r="B315" s="14" t="s">
        <v>26</v>
      </c>
      <c r="C315" s="15">
        <v>54</v>
      </c>
      <c r="D315" s="22" t="s">
        <v>28</v>
      </c>
      <c r="E315" s="16" t="s">
        <v>24</v>
      </c>
      <c r="F315" s="16" t="s">
        <v>25</v>
      </c>
      <c r="G315" s="16" t="s">
        <v>25</v>
      </c>
      <c r="H315" s="16">
        <v>14.62</v>
      </c>
      <c r="I315" s="16">
        <v>40.34</v>
      </c>
      <c r="J315" s="16">
        <v>10.88</v>
      </c>
      <c r="K315" s="16">
        <v>1.85</v>
      </c>
      <c r="M315" s="17" t="e">
        <f t="shared" si="12"/>
        <v>#DIV/0!</v>
      </c>
      <c r="N315" s="17">
        <f t="shared" si="13"/>
        <v>1.34375</v>
      </c>
      <c r="O315" s="16">
        <f t="shared" si="14"/>
        <v>7.9027027027027</v>
      </c>
      <c r="P315" s="16">
        <v>12.4</v>
      </c>
      <c r="Q315" s="16">
        <v>4.54</v>
      </c>
      <c r="R315" s="16">
        <v>9.46</v>
      </c>
      <c r="S315" s="16">
        <v>27.7</v>
      </c>
      <c r="T315" s="16">
        <v>68</v>
      </c>
      <c r="U315" s="25">
        <v>59</v>
      </c>
      <c r="V315" s="15">
        <v>1</v>
      </c>
    </row>
    <row r="316" spans="1:22">
      <c r="A316" s="13">
        <v>1570</v>
      </c>
      <c r="B316" s="14" t="s">
        <v>26</v>
      </c>
      <c r="C316" s="15">
        <v>54</v>
      </c>
      <c r="D316" s="22" t="s">
        <v>28</v>
      </c>
      <c r="E316" s="16" t="s">
        <v>24</v>
      </c>
      <c r="F316" s="16" t="s">
        <v>25</v>
      </c>
      <c r="G316" s="16" t="s">
        <v>25</v>
      </c>
      <c r="H316" s="16">
        <v>3.68</v>
      </c>
      <c r="I316" s="16">
        <v>31.11</v>
      </c>
      <c r="J316" s="16">
        <v>13.07</v>
      </c>
      <c r="K316" s="16">
        <v>1.01</v>
      </c>
      <c r="M316" s="17" t="e">
        <f t="shared" si="12"/>
        <v>#DIV/0!</v>
      </c>
      <c r="N316" s="17">
        <f t="shared" si="13"/>
        <v>0.281560826319816</v>
      </c>
      <c r="O316" s="16">
        <f t="shared" si="14"/>
        <v>3.64356435643564</v>
      </c>
      <c r="P316" s="16">
        <v>12.6</v>
      </c>
      <c r="Q316" s="16">
        <v>5</v>
      </c>
      <c r="R316" s="16">
        <v>6.48</v>
      </c>
      <c r="S316" s="16">
        <v>22.94</v>
      </c>
      <c r="T316" s="16">
        <v>144</v>
      </c>
      <c r="U316" s="25">
        <v>59</v>
      </c>
      <c r="V316" s="15">
        <v>1</v>
      </c>
    </row>
    <row r="317" spans="1:22">
      <c r="A317" s="13">
        <v>1571</v>
      </c>
      <c r="B317" s="14" t="s">
        <v>26</v>
      </c>
      <c r="C317" s="15">
        <v>54</v>
      </c>
      <c r="D317" s="22" t="s">
        <v>28</v>
      </c>
      <c r="E317" s="16" t="s">
        <v>24</v>
      </c>
      <c r="F317" s="16" t="s">
        <v>31</v>
      </c>
      <c r="G317" s="16" t="s">
        <v>32</v>
      </c>
      <c r="H317" s="16">
        <v>5.76</v>
      </c>
      <c r="I317" s="16">
        <v>43.88</v>
      </c>
      <c r="J317" s="16">
        <v>7.18</v>
      </c>
      <c r="K317" s="16">
        <v>0.88</v>
      </c>
      <c r="M317" s="17" t="e">
        <f t="shared" si="12"/>
        <v>#DIV/0!</v>
      </c>
      <c r="N317" s="17">
        <f t="shared" si="13"/>
        <v>0.802228412256267</v>
      </c>
      <c r="O317" s="16">
        <f t="shared" si="14"/>
        <v>6.54545454545454</v>
      </c>
      <c r="P317" s="16">
        <v>13</v>
      </c>
      <c r="Q317" s="16">
        <v>4.01</v>
      </c>
      <c r="R317" s="16">
        <v>6.61</v>
      </c>
      <c r="S317" s="16">
        <v>18.31</v>
      </c>
      <c r="T317" s="16">
        <v>131</v>
      </c>
      <c r="U317" s="25">
        <v>59</v>
      </c>
      <c r="V317" s="15">
        <v>1</v>
      </c>
    </row>
    <row r="318" spans="1:22">
      <c r="A318" s="13">
        <v>1572</v>
      </c>
      <c r="B318" s="14" t="s">
        <v>26</v>
      </c>
      <c r="C318" s="15">
        <v>54</v>
      </c>
      <c r="D318" s="22" t="s">
        <v>28</v>
      </c>
      <c r="E318" s="16" t="s">
        <v>24</v>
      </c>
      <c r="F318" s="16" t="s">
        <v>31</v>
      </c>
      <c r="G318" s="16" t="s">
        <v>33</v>
      </c>
      <c r="H318" s="16">
        <v>3.49</v>
      </c>
      <c r="I318" s="16">
        <v>28.89</v>
      </c>
      <c r="J318" s="16">
        <v>6.09</v>
      </c>
      <c r="K318" s="16">
        <v>0.88</v>
      </c>
      <c r="L318" s="16">
        <v>54</v>
      </c>
      <c r="M318" s="17">
        <f t="shared" si="12"/>
        <v>6.46296296296296</v>
      </c>
      <c r="N318" s="17">
        <f t="shared" si="13"/>
        <v>0.573070607553366</v>
      </c>
      <c r="O318" s="16">
        <f t="shared" si="14"/>
        <v>3.96590909090909</v>
      </c>
      <c r="P318" s="16">
        <v>14.2</v>
      </c>
      <c r="Q318" s="16">
        <v>4.28</v>
      </c>
      <c r="R318" s="16">
        <v>7.81</v>
      </c>
      <c r="S318" s="16">
        <v>19.14</v>
      </c>
      <c r="T318" s="16">
        <v>95</v>
      </c>
      <c r="U318" s="25">
        <v>59</v>
      </c>
      <c r="V318" s="15">
        <v>1</v>
      </c>
    </row>
    <row r="319" spans="1:22">
      <c r="A319" s="13">
        <v>1573</v>
      </c>
      <c r="B319" s="14" t="s">
        <v>22</v>
      </c>
      <c r="C319" s="15">
        <v>39</v>
      </c>
      <c r="D319" s="15" t="s">
        <v>30</v>
      </c>
      <c r="E319" s="16" t="s">
        <v>24</v>
      </c>
      <c r="F319" s="16" t="s">
        <v>25</v>
      </c>
      <c r="G319" s="16" t="s">
        <v>25</v>
      </c>
      <c r="H319" s="16">
        <v>9.86</v>
      </c>
      <c r="I319" s="16">
        <v>6.44</v>
      </c>
      <c r="J319" s="16">
        <v>13.9</v>
      </c>
      <c r="K319" s="16">
        <v>2.29</v>
      </c>
      <c r="M319" s="17" t="e">
        <f t="shared" si="12"/>
        <v>#DIV/0!</v>
      </c>
      <c r="N319" s="17">
        <f t="shared" si="13"/>
        <v>0.709352517985611</v>
      </c>
      <c r="O319" s="16">
        <f t="shared" si="14"/>
        <v>4.3056768558952</v>
      </c>
      <c r="P319" s="16">
        <v>14.5</v>
      </c>
      <c r="Q319" s="16">
        <v>4.99</v>
      </c>
      <c r="R319" s="16">
        <v>6.71</v>
      </c>
      <c r="S319" s="16">
        <v>13.74</v>
      </c>
      <c r="T319" s="16">
        <v>395</v>
      </c>
      <c r="U319" s="25">
        <v>16</v>
      </c>
      <c r="V319" s="15">
        <v>0</v>
      </c>
    </row>
    <row r="320" spans="1:22">
      <c r="A320" s="13">
        <v>1576</v>
      </c>
      <c r="B320" s="14" t="s">
        <v>26</v>
      </c>
      <c r="C320" s="15">
        <v>56</v>
      </c>
      <c r="D320" s="22" t="s">
        <v>28</v>
      </c>
      <c r="E320" s="16" t="s">
        <v>29</v>
      </c>
      <c r="F320" s="16" t="s">
        <v>29</v>
      </c>
      <c r="G320" s="16" t="s">
        <v>29</v>
      </c>
      <c r="H320" s="16">
        <v>117.78</v>
      </c>
      <c r="I320" s="16">
        <v>89.65</v>
      </c>
      <c r="J320" s="16">
        <v>37.59</v>
      </c>
      <c r="K320" s="16">
        <v>11.45</v>
      </c>
      <c r="L320" s="16">
        <v>30</v>
      </c>
      <c r="M320" s="17">
        <f t="shared" si="12"/>
        <v>392.6</v>
      </c>
      <c r="N320" s="17">
        <f t="shared" si="13"/>
        <v>3.13328012769354</v>
      </c>
      <c r="O320" s="16">
        <f t="shared" si="14"/>
        <v>10.2864628820961</v>
      </c>
      <c r="P320" s="16">
        <v>25.4</v>
      </c>
      <c r="Q320" s="16">
        <v>0.69</v>
      </c>
      <c r="R320" s="16">
        <v>20</v>
      </c>
      <c r="S320" s="16">
        <v>150</v>
      </c>
      <c r="T320" s="16">
        <v>61</v>
      </c>
      <c r="U320" s="25">
        <v>42</v>
      </c>
      <c r="V320" s="15">
        <v>0</v>
      </c>
    </row>
    <row r="321" spans="1:22">
      <c r="A321" s="13">
        <v>1577</v>
      </c>
      <c r="B321" s="14" t="s">
        <v>26</v>
      </c>
      <c r="C321" s="15">
        <v>48</v>
      </c>
      <c r="D321" s="15" t="s">
        <v>27</v>
      </c>
      <c r="E321" s="16" t="s">
        <v>24</v>
      </c>
      <c r="F321" s="16" t="s">
        <v>25</v>
      </c>
      <c r="G321" s="16" t="s">
        <v>25</v>
      </c>
      <c r="H321" s="16">
        <v>6.46</v>
      </c>
      <c r="I321" s="16">
        <v>9.87</v>
      </c>
      <c r="J321" s="16">
        <v>4.28</v>
      </c>
      <c r="K321" s="16">
        <v>2.12</v>
      </c>
      <c r="M321" s="17" t="e">
        <f t="shared" si="12"/>
        <v>#DIV/0!</v>
      </c>
      <c r="N321" s="17">
        <f t="shared" si="13"/>
        <v>1.50934579439252</v>
      </c>
      <c r="O321" s="16">
        <f t="shared" si="14"/>
        <v>3.04716981132075</v>
      </c>
      <c r="P321" s="16">
        <v>14</v>
      </c>
      <c r="Q321" s="16">
        <v>5.61</v>
      </c>
      <c r="R321" s="16">
        <v>11.28</v>
      </c>
      <c r="S321" s="16">
        <v>23.43</v>
      </c>
      <c r="T321" s="16">
        <v>384</v>
      </c>
      <c r="U321" s="25">
        <v>37</v>
      </c>
      <c r="V321" s="15">
        <v>0</v>
      </c>
    </row>
    <row r="322" spans="1:22">
      <c r="A322" s="13">
        <v>1578</v>
      </c>
      <c r="B322" s="14" t="s">
        <v>26</v>
      </c>
      <c r="C322" s="15">
        <v>48</v>
      </c>
      <c r="D322" s="15" t="s">
        <v>27</v>
      </c>
      <c r="E322" s="16" t="s">
        <v>24</v>
      </c>
      <c r="F322" s="16" t="s">
        <v>25</v>
      </c>
      <c r="G322" s="16" t="s">
        <v>25</v>
      </c>
      <c r="H322" s="16">
        <v>4.88</v>
      </c>
      <c r="I322" s="16">
        <v>7.61</v>
      </c>
      <c r="J322" s="16">
        <v>6.97</v>
      </c>
      <c r="K322" s="16">
        <v>0.92</v>
      </c>
      <c r="L322" s="16">
        <v>91</v>
      </c>
      <c r="M322" s="17">
        <f t="shared" si="12"/>
        <v>5.36263736263736</v>
      </c>
      <c r="N322" s="17">
        <f t="shared" si="13"/>
        <v>0.700143472022956</v>
      </c>
      <c r="O322" s="16">
        <f t="shared" si="14"/>
        <v>5.30434782608696</v>
      </c>
      <c r="P322" s="16">
        <v>15.3</v>
      </c>
      <c r="Q322" s="16">
        <v>4.25</v>
      </c>
      <c r="R322" s="16">
        <v>2.52</v>
      </c>
      <c r="S322" s="16">
        <v>9.03</v>
      </c>
      <c r="T322" s="16">
        <v>550</v>
      </c>
      <c r="U322" s="25">
        <v>37</v>
      </c>
      <c r="V322" s="15">
        <v>0</v>
      </c>
    </row>
    <row r="323" spans="1:22">
      <c r="A323" s="13">
        <v>1579</v>
      </c>
      <c r="B323" s="14" t="s">
        <v>26</v>
      </c>
      <c r="C323" s="15">
        <v>44</v>
      </c>
      <c r="D323" s="15" t="s">
        <v>23</v>
      </c>
      <c r="E323" s="16" t="s">
        <v>24</v>
      </c>
      <c r="F323" s="16" t="s">
        <v>25</v>
      </c>
      <c r="G323" s="16" t="s">
        <v>25</v>
      </c>
      <c r="H323" s="16">
        <v>2.45</v>
      </c>
      <c r="I323" s="16">
        <v>16.34</v>
      </c>
      <c r="J323" s="16">
        <v>13.03</v>
      </c>
      <c r="K323" s="16">
        <v>1.92</v>
      </c>
      <c r="M323" s="17" t="e">
        <f t="shared" ref="M323:M386" si="15">100*H323/L323</f>
        <v>#DIV/0!</v>
      </c>
      <c r="N323" s="17">
        <f t="shared" ref="N323:N386" si="16">H323/J323</f>
        <v>0.188027628549501</v>
      </c>
      <c r="O323" s="16">
        <f t="shared" ref="O323:O386" si="17">H323/K323</f>
        <v>1.27604166666667</v>
      </c>
      <c r="P323" s="16">
        <v>15.1</v>
      </c>
      <c r="Q323" s="16">
        <v>9.72</v>
      </c>
      <c r="R323" s="16">
        <v>1.88</v>
      </c>
      <c r="S323" s="16">
        <v>7.21</v>
      </c>
      <c r="T323" s="16">
        <v>122</v>
      </c>
      <c r="U323" s="25">
        <v>22</v>
      </c>
      <c r="V323" s="15">
        <v>0</v>
      </c>
    </row>
    <row r="324" spans="1:22">
      <c r="A324" s="13">
        <v>1582</v>
      </c>
      <c r="B324" s="14" t="s">
        <v>26</v>
      </c>
      <c r="C324" s="15">
        <v>55</v>
      </c>
      <c r="D324" s="15" t="s">
        <v>23</v>
      </c>
      <c r="E324" s="16" t="s">
        <v>24</v>
      </c>
      <c r="F324" s="16" t="s">
        <v>25</v>
      </c>
      <c r="G324" s="16" t="s">
        <v>25</v>
      </c>
      <c r="H324" s="16">
        <v>13.39</v>
      </c>
      <c r="I324" s="16">
        <v>10.81</v>
      </c>
      <c r="J324" s="16">
        <v>13.18</v>
      </c>
      <c r="K324" s="16">
        <v>1</v>
      </c>
      <c r="M324" s="17" t="e">
        <f t="shared" si="15"/>
        <v>#DIV/0!</v>
      </c>
      <c r="N324" s="17">
        <f t="shared" si="16"/>
        <v>1.01593323216995</v>
      </c>
      <c r="O324" s="16">
        <f t="shared" si="17"/>
        <v>13.39</v>
      </c>
      <c r="P324" s="16">
        <v>11.5</v>
      </c>
      <c r="Q324" s="16">
        <v>4.36</v>
      </c>
      <c r="R324" s="16">
        <v>1.13</v>
      </c>
      <c r="T324" s="16">
        <v>148</v>
      </c>
      <c r="U324" s="25">
        <v>75</v>
      </c>
      <c r="V324" s="15">
        <v>0</v>
      </c>
    </row>
    <row r="325" spans="1:22">
      <c r="A325" s="13">
        <v>1585</v>
      </c>
      <c r="B325" s="14" t="s">
        <v>26</v>
      </c>
      <c r="C325" s="15">
        <v>31</v>
      </c>
      <c r="D325" s="22" t="s">
        <v>28</v>
      </c>
      <c r="E325" s="16" t="s">
        <v>29</v>
      </c>
      <c r="F325" s="16" t="s">
        <v>29</v>
      </c>
      <c r="G325" s="16" t="s">
        <v>29</v>
      </c>
      <c r="H325" s="16">
        <v>120</v>
      </c>
      <c r="I325" s="16">
        <v>25.21</v>
      </c>
      <c r="J325" s="16">
        <v>7</v>
      </c>
      <c r="K325" s="16">
        <v>0.94</v>
      </c>
      <c r="L325" s="16">
        <v>36</v>
      </c>
      <c r="M325" s="17">
        <f t="shared" si="15"/>
        <v>333.333333333333</v>
      </c>
      <c r="N325" s="17">
        <f t="shared" si="16"/>
        <v>17.1428571428571</v>
      </c>
      <c r="O325" s="16">
        <f t="shared" si="17"/>
        <v>127.659574468085</v>
      </c>
      <c r="P325" s="16">
        <v>19.8</v>
      </c>
      <c r="Q325" s="16">
        <v>1.44</v>
      </c>
      <c r="R325" s="16">
        <v>6.33</v>
      </c>
      <c r="S325" s="16">
        <v>27.26</v>
      </c>
      <c r="T325" s="16">
        <v>42</v>
      </c>
      <c r="U325" s="25">
        <v>37</v>
      </c>
      <c r="V325" s="15">
        <v>1</v>
      </c>
    </row>
    <row r="326" spans="1:22">
      <c r="A326" s="13">
        <v>1586</v>
      </c>
      <c r="B326" s="14" t="s">
        <v>26</v>
      </c>
      <c r="C326" s="15">
        <v>56</v>
      </c>
      <c r="D326" s="15" t="s">
        <v>23</v>
      </c>
      <c r="E326" s="16" t="s">
        <v>29</v>
      </c>
      <c r="F326" s="16" t="s">
        <v>29</v>
      </c>
      <c r="G326" s="16" t="s">
        <v>29</v>
      </c>
      <c r="H326" s="16">
        <v>17.66</v>
      </c>
      <c r="I326" s="16">
        <v>29.22</v>
      </c>
      <c r="J326" s="16">
        <v>7.16</v>
      </c>
      <c r="K326" s="16">
        <v>1.36</v>
      </c>
      <c r="L326" s="16">
        <v>60</v>
      </c>
      <c r="M326" s="17">
        <f t="shared" si="15"/>
        <v>29.4333333333333</v>
      </c>
      <c r="N326" s="17">
        <f t="shared" si="16"/>
        <v>2.46648044692737</v>
      </c>
      <c r="O326" s="16">
        <f t="shared" si="17"/>
        <v>12.9852941176471</v>
      </c>
      <c r="P326" s="16">
        <v>14.9</v>
      </c>
      <c r="Q326" s="16">
        <v>3.19</v>
      </c>
      <c r="R326" s="16">
        <v>6.55</v>
      </c>
      <c r="S326" s="16">
        <v>28.32</v>
      </c>
      <c r="T326" s="16">
        <v>21</v>
      </c>
      <c r="U326" s="25">
        <v>39</v>
      </c>
      <c r="V326" s="15">
        <v>0</v>
      </c>
    </row>
    <row r="327" spans="1:22">
      <c r="A327" s="13">
        <v>1588</v>
      </c>
      <c r="B327" s="14" t="s">
        <v>26</v>
      </c>
      <c r="C327" s="15">
        <v>73</v>
      </c>
      <c r="D327" s="15" t="s">
        <v>23</v>
      </c>
      <c r="E327" s="16" t="s">
        <v>24</v>
      </c>
      <c r="F327" s="16" t="s">
        <v>25</v>
      </c>
      <c r="G327" s="16" t="s">
        <v>25</v>
      </c>
      <c r="H327" s="16">
        <v>3.69</v>
      </c>
      <c r="I327" s="16">
        <v>21.57</v>
      </c>
      <c r="J327" s="16">
        <v>16.42</v>
      </c>
      <c r="K327" s="16">
        <v>0.88</v>
      </c>
      <c r="L327" s="16">
        <v>74</v>
      </c>
      <c r="M327" s="17">
        <f t="shared" si="15"/>
        <v>4.98648648648649</v>
      </c>
      <c r="N327" s="17">
        <f t="shared" si="16"/>
        <v>0.224725943970767</v>
      </c>
      <c r="O327" s="16">
        <f t="shared" si="17"/>
        <v>4.19318181818182</v>
      </c>
      <c r="P327" s="16">
        <v>13.2</v>
      </c>
      <c r="Q327" s="16">
        <v>3.06</v>
      </c>
      <c r="R327" s="16">
        <v>1.8</v>
      </c>
      <c r="S327" s="16">
        <v>4.89</v>
      </c>
      <c r="T327" s="16">
        <v>64</v>
      </c>
      <c r="U327" s="25">
        <v>16</v>
      </c>
      <c r="V327" s="15">
        <v>0</v>
      </c>
    </row>
    <row r="328" spans="1:22">
      <c r="A328" s="13">
        <v>1589</v>
      </c>
      <c r="B328" s="14" t="s">
        <v>22</v>
      </c>
      <c r="C328" s="15">
        <v>29</v>
      </c>
      <c r="D328" s="22" t="s">
        <v>28</v>
      </c>
      <c r="E328" s="16" t="s">
        <v>24</v>
      </c>
      <c r="F328" s="16" t="s">
        <v>25</v>
      </c>
      <c r="G328" s="16" t="s">
        <v>25</v>
      </c>
      <c r="H328" s="16">
        <v>3.61</v>
      </c>
      <c r="I328" s="16">
        <v>6.37</v>
      </c>
      <c r="J328" s="16">
        <v>21.91</v>
      </c>
      <c r="K328" s="16">
        <v>0.82</v>
      </c>
      <c r="L328" s="16">
        <v>83</v>
      </c>
      <c r="M328" s="17">
        <f t="shared" si="15"/>
        <v>4.34939759036145</v>
      </c>
      <c r="N328" s="17">
        <f t="shared" si="16"/>
        <v>0.164764947512551</v>
      </c>
      <c r="O328" s="16">
        <f t="shared" si="17"/>
        <v>4.40243902439024</v>
      </c>
      <c r="P328" s="16">
        <v>17.9</v>
      </c>
      <c r="Q328" s="16">
        <v>2.02</v>
      </c>
      <c r="R328" s="16">
        <v>1.29</v>
      </c>
      <c r="S328" s="16">
        <v>4.52</v>
      </c>
      <c r="T328" s="16">
        <v>196</v>
      </c>
      <c r="U328" s="25">
        <v>12</v>
      </c>
      <c r="V328" s="15">
        <v>0</v>
      </c>
    </row>
    <row r="329" spans="1:22">
      <c r="A329" s="13">
        <v>1591</v>
      </c>
      <c r="B329" s="14" t="s">
        <v>22</v>
      </c>
      <c r="C329" s="15">
        <v>82</v>
      </c>
      <c r="D329" s="15" t="s">
        <v>27</v>
      </c>
      <c r="E329" s="16" t="s">
        <v>29</v>
      </c>
      <c r="F329" s="16" t="s">
        <v>29</v>
      </c>
      <c r="G329" s="16" t="s">
        <v>29</v>
      </c>
      <c r="H329" s="16">
        <v>8.11</v>
      </c>
      <c r="I329" s="16">
        <v>41.36</v>
      </c>
      <c r="J329" s="16">
        <v>50.19</v>
      </c>
      <c r="K329" s="16">
        <v>0.96</v>
      </c>
      <c r="L329" s="16">
        <v>22</v>
      </c>
      <c r="M329" s="17">
        <f t="shared" si="15"/>
        <v>36.8636363636364</v>
      </c>
      <c r="N329" s="17">
        <f t="shared" si="16"/>
        <v>0.161585973301454</v>
      </c>
      <c r="O329" s="16">
        <f t="shared" si="17"/>
        <v>8.44791666666667</v>
      </c>
      <c r="P329" s="16">
        <v>19.1</v>
      </c>
      <c r="Q329" s="16">
        <v>3.38</v>
      </c>
      <c r="R329" s="16">
        <v>5.55</v>
      </c>
      <c r="S329" s="16">
        <v>23.61</v>
      </c>
      <c r="T329" s="16">
        <v>39</v>
      </c>
      <c r="U329" s="25">
        <v>29</v>
      </c>
      <c r="V329" s="15">
        <v>1</v>
      </c>
    </row>
    <row r="330" spans="1:22">
      <c r="A330" s="13">
        <v>1592</v>
      </c>
      <c r="B330" s="14" t="s">
        <v>22</v>
      </c>
      <c r="C330" s="15">
        <v>82</v>
      </c>
      <c r="D330" s="15" t="s">
        <v>27</v>
      </c>
      <c r="E330" s="16" t="s">
        <v>24</v>
      </c>
      <c r="F330" s="16" t="s">
        <v>31</v>
      </c>
      <c r="G330" s="16" t="s">
        <v>33</v>
      </c>
      <c r="H330" s="16">
        <v>14.91</v>
      </c>
      <c r="I330" s="16">
        <v>22.48</v>
      </c>
      <c r="J330" s="16">
        <v>12.45</v>
      </c>
      <c r="K330" s="16">
        <v>1.19</v>
      </c>
      <c r="L330" s="16">
        <v>18</v>
      </c>
      <c r="M330" s="17">
        <f t="shared" si="15"/>
        <v>82.8333333333333</v>
      </c>
      <c r="N330" s="17">
        <f t="shared" si="16"/>
        <v>1.19759036144578</v>
      </c>
      <c r="O330" s="16">
        <f t="shared" si="17"/>
        <v>12.5294117647059</v>
      </c>
      <c r="P330" s="16">
        <v>16.4</v>
      </c>
      <c r="Q330" s="16">
        <v>2.63</v>
      </c>
      <c r="R330" s="16">
        <v>2.84</v>
      </c>
      <c r="S330" s="16">
        <v>12.87</v>
      </c>
      <c r="T330" s="16">
        <v>69</v>
      </c>
      <c r="U330" s="25">
        <v>29</v>
      </c>
      <c r="V330" s="15">
        <v>1</v>
      </c>
    </row>
    <row r="331" spans="1:22">
      <c r="A331" s="13">
        <v>1593</v>
      </c>
      <c r="B331" s="14" t="s">
        <v>22</v>
      </c>
      <c r="C331" s="15">
        <v>72</v>
      </c>
      <c r="D331" s="15" t="s">
        <v>27</v>
      </c>
      <c r="E331" s="16" t="s">
        <v>24</v>
      </c>
      <c r="F331" s="16" t="s">
        <v>25</v>
      </c>
      <c r="G331" s="16" t="s">
        <v>25</v>
      </c>
      <c r="H331" s="16">
        <v>24.66</v>
      </c>
      <c r="I331" s="16">
        <v>27.64</v>
      </c>
      <c r="J331" s="16">
        <v>4.68</v>
      </c>
      <c r="K331" s="16">
        <v>0.99</v>
      </c>
      <c r="M331" s="17" t="e">
        <f t="shared" si="15"/>
        <v>#DIV/0!</v>
      </c>
      <c r="N331" s="17">
        <f t="shared" si="16"/>
        <v>5.26923076923077</v>
      </c>
      <c r="O331" s="16">
        <f t="shared" si="17"/>
        <v>24.9090909090909</v>
      </c>
      <c r="P331" s="16">
        <v>13.5</v>
      </c>
      <c r="Q331" s="16">
        <v>2.63</v>
      </c>
      <c r="T331" s="16">
        <v>96</v>
      </c>
      <c r="U331" s="25">
        <v>14</v>
      </c>
      <c r="V331" s="15">
        <v>0</v>
      </c>
    </row>
    <row r="332" spans="1:22">
      <c r="A332" s="13">
        <v>1595</v>
      </c>
      <c r="B332" s="14" t="s">
        <v>26</v>
      </c>
      <c r="C332" s="15">
        <v>39</v>
      </c>
      <c r="D332" s="22" t="s">
        <v>28</v>
      </c>
      <c r="E332" s="16" t="s">
        <v>24</v>
      </c>
      <c r="F332" s="16" t="s">
        <v>25</v>
      </c>
      <c r="G332" s="16" t="s">
        <v>25</v>
      </c>
      <c r="H332" s="16">
        <v>3.29</v>
      </c>
      <c r="I332" s="16">
        <v>21.54</v>
      </c>
      <c r="J332" s="16">
        <v>28.96</v>
      </c>
      <c r="K332" s="16">
        <v>0.58</v>
      </c>
      <c r="M332" s="17" t="e">
        <f t="shared" si="15"/>
        <v>#DIV/0!</v>
      </c>
      <c r="N332" s="17">
        <f t="shared" si="16"/>
        <v>0.113604972375691</v>
      </c>
      <c r="O332" s="16">
        <f t="shared" si="17"/>
        <v>5.67241379310345</v>
      </c>
      <c r="P332" s="16">
        <v>12.2</v>
      </c>
      <c r="Q332" s="16">
        <v>3.1</v>
      </c>
      <c r="R332" s="16">
        <v>2.72</v>
      </c>
      <c r="T332" s="16">
        <v>107</v>
      </c>
      <c r="U332" s="25">
        <v>23</v>
      </c>
      <c r="V332" s="15">
        <v>0</v>
      </c>
    </row>
    <row r="333" spans="1:22">
      <c r="A333" s="13">
        <v>1596</v>
      </c>
      <c r="B333" s="14" t="s">
        <v>26</v>
      </c>
      <c r="C333" s="15">
        <v>39</v>
      </c>
      <c r="D333" s="22" t="s">
        <v>28</v>
      </c>
      <c r="E333" s="16" t="s">
        <v>24</v>
      </c>
      <c r="F333" s="16" t="s">
        <v>25</v>
      </c>
      <c r="G333" s="16" t="s">
        <v>25</v>
      </c>
      <c r="H333" s="16">
        <v>13.86</v>
      </c>
      <c r="I333" s="16">
        <v>7.51</v>
      </c>
      <c r="J333" s="16">
        <v>35.33</v>
      </c>
      <c r="K333" s="16">
        <v>1.64</v>
      </c>
      <c r="M333" s="17" t="e">
        <f t="shared" si="15"/>
        <v>#DIV/0!</v>
      </c>
      <c r="N333" s="17">
        <f t="shared" si="16"/>
        <v>0.392301160486838</v>
      </c>
      <c r="O333" s="16">
        <f t="shared" si="17"/>
        <v>8.45121951219512</v>
      </c>
      <c r="P333" s="16">
        <v>11.7</v>
      </c>
      <c r="Q333" s="16">
        <v>5.51</v>
      </c>
      <c r="R333" s="16">
        <v>4.74</v>
      </c>
      <c r="T333" s="16">
        <v>197</v>
      </c>
      <c r="U333" s="25">
        <v>23</v>
      </c>
      <c r="V333" s="15">
        <v>0</v>
      </c>
    </row>
    <row r="334" spans="1:22">
      <c r="A334" s="13">
        <v>1597</v>
      </c>
      <c r="B334" s="14" t="s">
        <v>26</v>
      </c>
      <c r="C334" s="15">
        <v>78</v>
      </c>
      <c r="D334" s="15" t="s">
        <v>23</v>
      </c>
      <c r="E334" s="16" t="s">
        <v>24</v>
      </c>
      <c r="F334" s="16" t="s">
        <v>31</v>
      </c>
      <c r="G334" s="16" t="s">
        <v>33</v>
      </c>
      <c r="H334" s="16">
        <v>4.92</v>
      </c>
      <c r="I334" s="16">
        <v>16.64</v>
      </c>
      <c r="J334" s="16">
        <v>15.1</v>
      </c>
      <c r="K334" s="16">
        <v>0.59</v>
      </c>
      <c r="L334" s="16">
        <v>42</v>
      </c>
      <c r="M334" s="17">
        <f t="shared" si="15"/>
        <v>11.7142857142857</v>
      </c>
      <c r="N334" s="17">
        <f t="shared" si="16"/>
        <v>0.325827814569536</v>
      </c>
      <c r="O334" s="16">
        <f t="shared" si="17"/>
        <v>8.33898305084746</v>
      </c>
      <c r="P334" s="16">
        <v>17.6</v>
      </c>
      <c r="Q334" s="16">
        <v>11.23</v>
      </c>
      <c r="R334" s="16">
        <v>2.57</v>
      </c>
      <c r="S334" s="16">
        <v>8.46</v>
      </c>
      <c r="T334" s="16">
        <v>109</v>
      </c>
      <c r="U334" s="25">
        <v>19</v>
      </c>
      <c r="V334" s="15">
        <v>1</v>
      </c>
    </row>
    <row r="335" spans="1:22">
      <c r="A335" s="1">
        <v>1600</v>
      </c>
      <c r="B335" s="14" t="s">
        <v>26</v>
      </c>
      <c r="C335" s="15">
        <v>47</v>
      </c>
      <c r="D335" s="15" t="s">
        <v>27</v>
      </c>
      <c r="E335" s="16" t="s">
        <v>24</v>
      </c>
      <c r="F335" s="16" t="s">
        <v>25</v>
      </c>
      <c r="G335" s="16" t="s">
        <v>25</v>
      </c>
      <c r="H335" s="16">
        <v>8.55</v>
      </c>
      <c r="I335" s="16">
        <v>13.18</v>
      </c>
      <c r="J335" s="16">
        <v>5.37</v>
      </c>
      <c r="K335" s="16">
        <v>1.36</v>
      </c>
      <c r="M335" s="17" t="e">
        <f t="shared" si="15"/>
        <v>#DIV/0!</v>
      </c>
      <c r="N335" s="17">
        <f t="shared" si="16"/>
        <v>1.59217877094972</v>
      </c>
      <c r="O335" s="16">
        <f t="shared" si="17"/>
        <v>6.28676470588235</v>
      </c>
      <c r="P335" s="16">
        <v>15.2</v>
      </c>
      <c r="Q335" s="16">
        <v>1.48</v>
      </c>
      <c r="T335" s="16">
        <v>76</v>
      </c>
      <c r="U335" s="25">
        <v>49</v>
      </c>
      <c r="V335" s="15">
        <v>0</v>
      </c>
    </row>
    <row r="336" spans="1:22">
      <c r="A336" s="1">
        <v>1604</v>
      </c>
      <c r="B336" s="14" t="s">
        <v>22</v>
      </c>
      <c r="C336" s="15">
        <v>24</v>
      </c>
      <c r="D336" s="15" t="s">
        <v>23</v>
      </c>
      <c r="E336" s="16" t="s">
        <v>29</v>
      </c>
      <c r="F336" s="16" t="s">
        <v>29</v>
      </c>
      <c r="G336" s="16" t="s">
        <v>29</v>
      </c>
      <c r="H336" s="16">
        <v>19.82</v>
      </c>
      <c r="I336" s="16">
        <v>25.71</v>
      </c>
      <c r="J336" s="16">
        <v>23.12</v>
      </c>
      <c r="K336" s="16">
        <v>0.57</v>
      </c>
      <c r="M336" s="17" t="e">
        <f t="shared" si="15"/>
        <v>#DIV/0!</v>
      </c>
      <c r="N336" s="17">
        <f t="shared" si="16"/>
        <v>0.857266435986159</v>
      </c>
      <c r="O336" s="16">
        <f t="shared" si="17"/>
        <v>34.7719298245614</v>
      </c>
      <c r="P336" s="16">
        <v>17.2</v>
      </c>
      <c r="Q336" s="16">
        <v>1.92</v>
      </c>
      <c r="R336" s="16">
        <v>5.42</v>
      </c>
      <c r="S336" s="16">
        <v>21.68</v>
      </c>
      <c r="T336" s="16">
        <v>30</v>
      </c>
      <c r="U336" s="25">
        <v>27</v>
      </c>
      <c r="V336" s="15">
        <v>0</v>
      </c>
    </row>
    <row r="337" spans="1:22">
      <c r="A337" s="1">
        <v>1605</v>
      </c>
      <c r="B337" s="14" t="s">
        <v>22</v>
      </c>
      <c r="C337" s="15">
        <v>24</v>
      </c>
      <c r="D337" s="15" t="s">
        <v>23</v>
      </c>
      <c r="E337" s="16" t="s">
        <v>29</v>
      </c>
      <c r="F337" s="16" t="s">
        <v>29</v>
      </c>
      <c r="G337" s="16" t="s">
        <v>29</v>
      </c>
      <c r="H337" s="16">
        <v>88.21</v>
      </c>
      <c r="I337" s="16">
        <v>77.59</v>
      </c>
      <c r="J337" s="16">
        <v>9.15</v>
      </c>
      <c r="K337" s="16">
        <v>8.58</v>
      </c>
      <c r="L337" s="16">
        <v>27</v>
      </c>
      <c r="M337" s="17">
        <f t="shared" si="15"/>
        <v>326.703703703704</v>
      </c>
      <c r="N337" s="17">
        <f t="shared" si="16"/>
        <v>9.64043715846995</v>
      </c>
      <c r="O337" s="16">
        <f t="shared" si="17"/>
        <v>10.2808857808858</v>
      </c>
      <c r="P337" s="16">
        <v>20.8</v>
      </c>
      <c r="Q337" s="16">
        <v>0.89</v>
      </c>
      <c r="R337" s="16">
        <v>102.56</v>
      </c>
      <c r="T337" s="16">
        <v>21</v>
      </c>
      <c r="U337" s="25">
        <v>27</v>
      </c>
      <c r="V337" s="15">
        <v>0</v>
      </c>
    </row>
    <row r="338" spans="1:22">
      <c r="A338" s="1">
        <v>1606</v>
      </c>
      <c r="B338" s="14" t="s">
        <v>22</v>
      </c>
      <c r="C338" s="15">
        <v>24</v>
      </c>
      <c r="D338" s="15" t="s">
        <v>23</v>
      </c>
      <c r="E338" s="16" t="s">
        <v>29</v>
      </c>
      <c r="F338" s="16" t="s">
        <v>29</v>
      </c>
      <c r="G338" s="16" t="s">
        <v>29</v>
      </c>
      <c r="H338" s="16">
        <v>34.73</v>
      </c>
      <c r="I338" s="16">
        <v>47.75</v>
      </c>
      <c r="J338" s="16">
        <v>10.86</v>
      </c>
      <c r="K338" s="16">
        <v>5.76</v>
      </c>
      <c r="L338" s="16">
        <v>27</v>
      </c>
      <c r="M338" s="17">
        <f t="shared" si="15"/>
        <v>128.62962962963</v>
      </c>
      <c r="N338" s="17">
        <f t="shared" si="16"/>
        <v>3.19797421731123</v>
      </c>
      <c r="O338" s="16">
        <f t="shared" si="17"/>
        <v>6.02951388888889</v>
      </c>
      <c r="U338" s="25">
        <v>27</v>
      </c>
      <c r="V338" s="15">
        <v>0</v>
      </c>
    </row>
    <row r="339" spans="1:22">
      <c r="A339" s="1">
        <v>1608</v>
      </c>
      <c r="B339" s="14" t="s">
        <v>26</v>
      </c>
      <c r="C339" s="15">
        <v>74</v>
      </c>
      <c r="D339" s="15" t="s">
        <v>23</v>
      </c>
      <c r="E339" s="16" t="s">
        <v>24</v>
      </c>
      <c r="F339" s="16" t="s">
        <v>25</v>
      </c>
      <c r="G339" s="16" t="s">
        <v>25</v>
      </c>
      <c r="H339" s="16">
        <v>3.34</v>
      </c>
      <c r="I339" s="16">
        <v>9.29</v>
      </c>
      <c r="J339" s="16">
        <v>4.16</v>
      </c>
      <c r="K339" s="16">
        <v>1.53</v>
      </c>
      <c r="M339" s="17" t="e">
        <f t="shared" si="15"/>
        <v>#DIV/0!</v>
      </c>
      <c r="N339" s="17">
        <f t="shared" si="16"/>
        <v>0.802884615384615</v>
      </c>
      <c r="O339" s="16">
        <f t="shared" si="17"/>
        <v>2.18300653594771</v>
      </c>
      <c r="P339" s="16">
        <v>13.6</v>
      </c>
      <c r="Q339" s="16">
        <v>5.92</v>
      </c>
      <c r="R339" s="16">
        <v>7.31</v>
      </c>
      <c r="T339" s="16">
        <v>186</v>
      </c>
      <c r="U339" s="25">
        <v>23</v>
      </c>
      <c r="V339" s="15">
        <v>0</v>
      </c>
    </row>
    <row r="340" spans="1:22">
      <c r="A340" s="1">
        <v>1609</v>
      </c>
      <c r="B340" s="14" t="s">
        <v>26</v>
      </c>
      <c r="C340" s="15">
        <v>48</v>
      </c>
      <c r="D340" s="22" t="s">
        <v>35</v>
      </c>
      <c r="E340" s="16" t="s">
        <v>24</v>
      </c>
      <c r="F340" s="16" t="s">
        <v>25</v>
      </c>
      <c r="G340" s="16" t="s">
        <v>25</v>
      </c>
      <c r="H340" s="16">
        <v>8.47</v>
      </c>
      <c r="I340" s="16">
        <v>7.81</v>
      </c>
      <c r="J340" s="16">
        <v>14.77</v>
      </c>
      <c r="K340" s="16">
        <v>0.81</v>
      </c>
      <c r="L340" s="16">
        <v>52</v>
      </c>
      <c r="M340" s="17">
        <f t="shared" si="15"/>
        <v>16.2884615384615</v>
      </c>
      <c r="N340" s="17">
        <f t="shared" si="16"/>
        <v>0.57345971563981</v>
      </c>
      <c r="O340" s="16">
        <f t="shared" si="17"/>
        <v>10.4567901234568</v>
      </c>
      <c r="P340" s="16">
        <v>20.4</v>
      </c>
      <c r="Q340" s="16">
        <v>2.39</v>
      </c>
      <c r="R340" s="16">
        <v>7.5</v>
      </c>
      <c r="S340" s="16">
        <v>31.3</v>
      </c>
      <c r="T340" s="16">
        <v>118</v>
      </c>
      <c r="U340" s="25">
        <v>24</v>
      </c>
      <c r="V340" s="15">
        <v>0</v>
      </c>
    </row>
    <row r="341" spans="1:22">
      <c r="A341" s="1">
        <v>1610</v>
      </c>
      <c r="B341" s="14" t="s">
        <v>26</v>
      </c>
      <c r="C341" s="15">
        <v>88</v>
      </c>
      <c r="D341" s="15" t="s">
        <v>23</v>
      </c>
      <c r="E341" s="16" t="s">
        <v>29</v>
      </c>
      <c r="F341" s="16" t="s">
        <v>29</v>
      </c>
      <c r="G341" s="16" t="s">
        <v>29</v>
      </c>
      <c r="H341" s="16">
        <v>18.59</v>
      </c>
      <c r="I341" s="16">
        <v>18.35</v>
      </c>
      <c r="J341" s="16">
        <v>1.61</v>
      </c>
      <c r="K341" s="16">
        <v>3.57</v>
      </c>
      <c r="L341" s="16">
        <v>76</v>
      </c>
      <c r="M341" s="17">
        <f t="shared" si="15"/>
        <v>24.4605263157895</v>
      </c>
      <c r="N341" s="17">
        <f t="shared" si="16"/>
        <v>11.5465838509317</v>
      </c>
      <c r="O341" s="16">
        <f t="shared" si="17"/>
        <v>5.20728291316527</v>
      </c>
      <c r="P341" s="16">
        <v>14.2</v>
      </c>
      <c r="Q341" s="16">
        <v>5.23</v>
      </c>
      <c r="R341" s="16">
        <v>6.89</v>
      </c>
      <c r="S341" s="16">
        <v>30.47</v>
      </c>
      <c r="T341" s="16">
        <v>49</v>
      </c>
      <c r="U341" s="25">
        <v>17</v>
      </c>
      <c r="V341" s="15">
        <v>0</v>
      </c>
    </row>
    <row r="342" spans="1:22">
      <c r="A342" s="1">
        <v>1611</v>
      </c>
      <c r="B342" s="14" t="s">
        <v>22</v>
      </c>
      <c r="C342" s="15">
        <v>85</v>
      </c>
      <c r="D342" s="15" t="s">
        <v>23</v>
      </c>
      <c r="E342" s="16" t="s">
        <v>24</v>
      </c>
      <c r="F342" s="16" t="s">
        <v>25</v>
      </c>
      <c r="G342" s="16" t="s">
        <v>25</v>
      </c>
      <c r="H342" s="16">
        <v>14</v>
      </c>
      <c r="I342" s="16">
        <v>6.94</v>
      </c>
      <c r="J342" s="16">
        <v>11.27</v>
      </c>
      <c r="K342" s="16">
        <v>1.57</v>
      </c>
      <c r="M342" s="17" t="e">
        <f t="shared" si="15"/>
        <v>#DIV/0!</v>
      </c>
      <c r="N342" s="17">
        <f t="shared" si="16"/>
        <v>1.24223602484472</v>
      </c>
      <c r="O342" s="16">
        <f t="shared" si="17"/>
        <v>8.9171974522293</v>
      </c>
      <c r="P342" s="16">
        <v>10.3</v>
      </c>
      <c r="Q342" s="16">
        <v>5.56</v>
      </c>
      <c r="R342" s="16">
        <v>4.9</v>
      </c>
      <c r="S342" s="16">
        <v>14.2</v>
      </c>
      <c r="T342" s="16">
        <v>210</v>
      </c>
      <c r="U342" s="25">
        <v>20</v>
      </c>
      <c r="V342" s="15">
        <v>0</v>
      </c>
    </row>
    <row r="343" spans="1:22">
      <c r="A343" s="1">
        <v>1612</v>
      </c>
      <c r="B343" s="14" t="s">
        <v>26</v>
      </c>
      <c r="C343" s="15">
        <v>60</v>
      </c>
      <c r="D343" s="15" t="s">
        <v>23</v>
      </c>
      <c r="E343" s="16" t="s">
        <v>24</v>
      </c>
      <c r="F343" s="16" t="s">
        <v>25</v>
      </c>
      <c r="G343" s="16" t="s">
        <v>25</v>
      </c>
      <c r="H343" s="16">
        <v>2.06</v>
      </c>
      <c r="I343" s="16">
        <v>19.71</v>
      </c>
      <c r="J343" s="16">
        <v>10.48</v>
      </c>
      <c r="K343" s="16">
        <v>0.66</v>
      </c>
      <c r="M343" s="17" t="e">
        <f t="shared" si="15"/>
        <v>#DIV/0!</v>
      </c>
      <c r="N343" s="17">
        <f t="shared" si="16"/>
        <v>0.196564885496183</v>
      </c>
      <c r="O343" s="16">
        <f t="shared" si="17"/>
        <v>3.12121212121212</v>
      </c>
      <c r="P343" s="16">
        <v>15.6</v>
      </c>
      <c r="Q343" s="16">
        <v>3.93</v>
      </c>
      <c r="R343" s="16">
        <v>3.98</v>
      </c>
      <c r="T343" s="16">
        <v>257</v>
      </c>
      <c r="U343" s="25">
        <v>29</v>
      </c>
      <c r="V343" s="15">
        <v>0</v>
      </c>
    </row>
    <row r="344" spans="1:22">
      <c r="A344" s="1">
        <v>1613</v>
      </c>
      <c r="B344" s="14" t="s">
        <v>26</v>
      </c>
      <c r="C344" s="15">
        <v>60</v>
      </c>
      <c r="D344" s="15" t="s">
        <v>23</v>
      </c>
      <c r="E344" s="16" t="s">
        <v>24</v>
      </c>
      <c r="F344" s="16" t="s">
        <v>25</v>
      </c>
      <c r="G344" s="16" t="s">
        <v>25</v>
      </c>
      <c r="H344" s="16">
        <v>2.78</v>
      </c>
      <c r="I344" s="16">
        <v>18.61</v>
      </c>
      <c r="J344" s="16">
        <v>8.37</v>
      </c>
      <c r="K344" s="16">
        <v>0.39</v>
      </c>
      <c r="M344" s="17" t="e">
        <f t="shared" si="15"/>
        <v>#DIV/0!</v>
      </c>
      <c r="N344" s="17">
        <f t="shared" si="16"/>
        <v>0.332138590203106</v>
      </c>
      <c r="O344" s="16">
        <f t="shared" si="17"/>
        <v>7.12820512820513</v>
      </c>
      <c r="P344" s="16">
        <v>15.6</v>
      </c>
      <c r="Q344" s="16">
        <v>3.62</v>
      </c>
      <c r="R344" s="16">
        <v>2.19</v>
      </c>
      <c r="S344" s="16">
        <v>6.74</v>
      </c>
      <c r="T344" s="16">
        <v>179</v>
      </c>
      <c r="U344" s="25">
        <v>29</v>
      </c>
      <c r="V344" s="15">
        <v>0</v>
      </c>
    </row>
    <row r="345" spans="1:22">
      <c r="A345" s="1">
        <v>1614</v>
      </c>
      <c r="B345" s="14" t="s">
        <v>26</v>
      </c>
      <c r="C345" s="15">
        <v>60</v>
      </c>
      <c r="D345" s="15" t="s">
        <v>23</v>
      </c>
      <c r="E345" s="16" t="s">
        <v>24</v>
      </c>
      <c r="F345" s="16" t="s">
        <v>25</v>
      </c>
      <c r="G345" s="16" t="s">
        <v>25</v>
      </c>
      <c r="H345" s="16">
        <v>4.16</v>
      </c>
      <c r="I345" s="16">
        <v>14.84</v>
      </c>
      <c r="J345" s="16">
        <v>5.3</v>
      </c>
      <c r="K345" s="16">
        <v>0.29</v>
      </c>
      <c r="L345" s="16">
        <v>55</v>
      </c>
      <c r="M345" s="17">
        <f t="shared" si="15"/>
        <v>7.56363636363636</v>
      </c>
      <c r="N345" s="17">
        <f t="shared" si="16"/>
        <v>0.784905660377359</v>
      </c>
      <c r="O345" s="16">
        <f t="shared" si="17"/>
        <v>14.3448275862069</v>
      </c>
      <c r="P345" s="16">
        <v>16.5</v>
      </c>
      <c r="Q345" s="16">
        <v>1.67</v>
      </c>
      <c r="R345" s="16">
        <v>1.94</v>
      </c>
      <c r="S345" s="16">
        <v>5</v>
      </c>
      <c r="T345" s="16">
        <v>121</v>
      </c>
      <c r="U345" s="25">
        <v>29</v>
      </c>
      <c r="V345" s="15">
        <v>0</v>
      </c>
    </row>
    <row r="346" spans="1:22">
      <c r="A346" s="1">
        <v>1615</v>
      </c>
      <c r="B346" s="14" t="s">
        <v>26</v>
      </c>
      <c r="C346" s="15">
        <v>80</v>
      </c>
      <c r="D346" s="15" t="s">
        <v>23</v>
      </c>
      <c r="E346" s="16" t="s">
        <v>24</v>
      </c>
      <c r="F346" s="16" t="s">
        <v>31</v>
      </c>
      <c r="G346" s="16" t="s">
        <v>33</v>
      </c>
      <c r="H346" s="16">
        <v>9.96</v>
      </c>
      <c r="I346" s="16">
        <v>16.08</v>
      </c>
      <c r="J346" s="16">
        <v>6.74</v>
      </c>
      <c r="K346" s="16">
        <v>10.84</v>
      </c>
      <c r="M346" s="17" t="e">
        <f t="shared" si="15"/>
        <v>#DIV/0!</v>
      </c>
      <c r="N346" s="17">
        <f t="shared" si="16"/>
        <v>1.47774480712166</v>
      </c>
      <c r="O346" s="16">
        <f t="shared" si="17"/>
        <v>0.918819188191882</v>
      </c>
      <c r="P346" s="16">
        <v>12.9</v>
      </c>
      <c r="Q346" s="16">
        <v>3.22</v>
      </c>
      <c r="R346" s="16">
        <v>17.75</v>
      </c>
      <c r="S346" s="16">
        <v>54.44</v>
      </c>
      <c r="T346" s="16">
        <v>82</v>
      </c>
      <c r="U346" s="25">
        <v>28</v>
      </c>
      <c r="V346" s="15">
        <v>1</v>
      </c>
    </row>
    <row r="347" spans="1:22">
      <c r="A347" s="1">
        <v>1616</v>
      </c>
      <c r="B347" s="14" t="s">
        <v>26</v>
      </c>
      <c r="C347" s="15">
        <v>80</v>
      </c>
      <c r="D347" s="15" t="s">
        <v>23</v>
      </c>
      <c r="E347" s="16" t="s">
        <v>24</v>
      </c>
      <c r="F347" s="16" t="s">
        <v>25</v>
      </c>
      <c r="G347" s="16" t="s">
        <v>25</v>
      </c>
      <c r="H347" s="16">
        <v>2.47</v>
      </c>
      <c r="I347" s="16">
        <v>18.87</v>
      </c>
      <c r="J347" s="16">
        <v>12.37</v>
      </c>
      <c r="K347" s="16">
        <v>0.53</v>
      </c>
      <c r="M347" s="17" t="e">
        <f t="shared" si="15"/>
        <v>#DIV/0!</v>
      </c>
      <c r="N347" s="17">
        <f t="shared" si="16"/>
        <v>0.199676637025061</v>
      </c>
      <c r="O347" s="16">
        <f t="shared" si="17"/>
        <v>4.66037735849057</v>
      </c>
      <c r="P347" s="16">
        <v>50.6</v>
      </c>
      <c r="Q347" s="16">
        <v>2.96</v>
      </c>
      <c r="R347" s="16">
        <v>2.23</v>
      </c>
      <c r="S347" s="16">
        <v>8.45</v>
      </c>
      <c r="T347" s="16">
        <v>143</v>
      </c>
      <c r="U347" s="25">
        <v>28</v>
      </c>
      <c r="V347" s="15">
        <v>1</v>
      </c>
    </row>
    <row r="348" spans="1:22">
      <c r="A348" s="1">
        <v>1618</v>
      </c>
      <c r="B348" s="14" t="s">
        <v>26</v>
      </c>
      <c r="C348" s="15">
        <v>71</v>
      </c>
      <c r="D348" s="15" t="s">
        <v>23</v>
      </c>
      <c r="E348" s="16" t="s">
        <v>24</v>
      </c>
      <c r="F348" s="16" t="s">
        <v>25</v>
      </c>
      <c r="G348" s="16" t="s">
        <v>25</v>
      </c>
      <c r="H348" s="16">
        <v>6.27</v>
      </c>
      <c r="I348" s="16">
        <v>6.16</v>
      </c>
      <c r="J348" s="16">
        <v>8.51</v>
      </c>
      <c r="K348" s="16">
        <v>1.11</v>
      </c>
      <c r="M348" s="17" t="e">
        <f t="shared" si="15"/>
        <v>#DIV/0!</v>
      </c>
      <c r="N348" s="17">
        <f t="shared" si="16"/>
        <v>0.736780258519389</v>
      </c>
      <c r="O348" s="16">
        <f t="shared" si="17"/>
        <v>5.64864864864865</v>
      </c>
      <c r="P348" s="16">
        <v>12.3</v>
      </c>
      <c r="Q348" s="16">
        <v>5.65</v>
      </c>
      <c r="R348" s="16">
        <v>3.51</v>
      </c>
      <c r="S348" s="16">
        <v>10.85</v>
      </c>
      <c r="T348" s="16">
        <v>245</v>
      </c>
      <c r="U348" s="25">
        <v>7</v>
      </c>
      <c r="V348" s="15">
        <v>0</v>
      </c>
    </row>
    <row r="349" spans="1:22">
      <c r="A349" s="1">
        <v>1621</v>
      </c>
      <c r="B349" s="14" t="s">
        <v>26</v>
      </c>
      <c r="C349" s="15">
        <v>91</v>
      </c>
      <c r="D349" s="15" t="s">
        <v>27</v>
      </c>
      <c r="E349" s="16" t="s">
        <v>24</v>
      </c>
      <c r="F349" s="16" t="s">
        <v>25</v>
      </c>
      <c r="G349" s="16" t="s">
        <v>25</v>
      </c>
      <c r="H349" s="16">
        <v>2.14</v>
      </c>
      <c r="I349" s="16">
        <v>17.17</v>
      </c>
      <c r="J349" s="16">
        <v>12.8</v>
      </c>
      <c r="K349" s="16">
        <v>0.86</v>
      </c>
      <c r="M349" s="17" t="e">
        <f t="shared" si="15"/>
        <v>#DIV/0!</v>
      </c>
      <c r="N349" s="17">
        <f t="shared" si="16"/>
        <v>0.1671875</v>
      </c>
      <c r="O349" s="16">
        <f t="shared" si="17"/>
        <v>2.48837209302326</v>
      </c>
      <c r="P349" s="16">
        <v>12.4</v>
      </c>
      <c r="Q349" s="16">
        <v>3.66</v>
      </c>
      <c r="T349" s="16">
        <v>161</v>
      </c>
      <c r="U349" s="25">
        <v>14</v>
      </c>
      <c r="V349" s="15">
        <v>0</v>
      </c>
    </row>
    <row r="350" spans="1:22">
      <c r="A350" s="1">
        <v>1623</v>
      </c>
      <c r="B350" s="14" t="s">
        <v>22</v>
      </c>
      <c r="C350" s="15">
        <v>92</v>
      </c>
      <c r="D350" s="15" t="s">
        <v>23</v>
      </c>
      <c r="E350" s="16" t="s">
        <v>24</v>
      </c>
      <c r="F350" s="16" t="s">
        <v>25</v>
      </c>
      <c r="G350" s="16" t="s">
        <v>25</v>
      </c>
      <c r="H350" s="16">
        <v>2.34</v>
      </c>
      <c r="I350" s="16">
        <v>14.99</v>
      </c>
      <c r="J350" s="16">
        <v>25.03</v>
      </c>
      <c r="K350" s="16">
        <v>0.67</v>
      </c>
      <c r="L350" s="16">
        <v>73</v>
      </c>
      <c r="M350" s="17">
        <f t="shared" si="15"/>
        <v>3.20547945205479</v>
      </c>
      <c r="N350" s="17">
        <f t="shared" si="16"/>
        <v>0.093487814622453</v>
      </c>
      <c r="O350" s="16">
        <f t="shared" si="17"/>
        <v>3.49253731343284</v>
      </c>
      <c r="P350" s="16">
        <v>15.2</v>
      </c>
      <c r="Q350" s="16">
        <v>4.15</v>
      </c>
      <c r="R350" s="16">
        <v>1.05</v>
      </c>
      <c r="S350" s="16">
        <v>2.42</v>
      </c>
      <c r="T350" s="16">
        <v>246</v>
      </c>
      <c r="U350" s="25">
        <v>29</v>
      </c>
      <c r="V350" s="15">
        <v>0</v>
      </c>
    </row>
    <row r="351" spans="1:22">
      <c r="A351" s="1">
        <v>1624</v>
      </c>
      <c r="B351" s="14" t="s">
        <v>22</v>
      </c>
      <c r="C351" s="15">
        <v>92</v>
      </c>
      <c r="D351" s="15" t="s">
        <v>23</v>
      </c>
      <c r="E351" s="16" t="s">
        <v>24</v>
      </c>
      <c r="F351" s="16" t="s">
        <v>25</v>
      </c>
      <c r="G351" s="16" t="s">
        <v>25</v>
      </c>
      <c r="H351" s="16">
        <v>3</v>
      </c>
      <c r="I351" s="16">
        <v>18.92</v>
      </c>
      <c r="J351" s="16">
        <v>11.15</v>
      </c>
      <c r="K351" s="16">
        <v>0.67</v>
      </c>
      <c r="L351" s="16">
        <v>39</v>
      </c>
      <c r="M351" s="17">
        <f t="shared" si="15"/>
        <v>7.69230769230769</v>
      </c>
      <c r="N351" s="17">
        <f t="shared" si="16"/>
        <v>0.269058295964126</v>
      </c>
      <c r="O351" s="16">
        <f t="shared" si="17"/>
        <v>4.47761194029851</v>
      </c>
      <c r="P351" s="16">
        <v>16.9</v>
      </c>
      <c r="Q351" s="16">
        <v>3.48</v>
      </c>
      <c r="R351" s="16">
        <v>1.79</v>
      </c>
      <c r="S351" s="16">
        <v>5.22</v>
      </c>
      <c r="T351" s="16">
        <v>103</v>
      </c>
      <c r="U351" s="25">
        <v>29</v>
      </c>
      <c r="V351" s="15">
        <v>0</v>
      </c>
    </row>
    <row r="352" spans="1:22">
      <c r="A352" s="1">
        <v>1625</v>
      </c>
      <c r="B352" s="14" t="s">
        <v>22</v>
      </c>
      <c r="C352" s="15">
        <v>92</v>
      </c>
      <c r="D352" s="15" t="s">
        <v>23</v>
      </c>
      <c r="E352" s="16" t="s">
        <v>24</v>
      </c>
      <c r="F352" s="16" t="s">
        <v>25</v>
      </c>
      <c r="G352" s="16" t="s">
        <v>25</v>
      </c>
      <c r="H352" s="16">
        <v>15.49</v>
      </c>
      <c r="I352" s="16">
        <v>21.12</v>
      </c>
      <c r="J352" s="16">
        <v>8.51</v>
      </c>
      <c r="K352" s="16">
        <v>1.69</v>
      </c>
      <c r="L352" s="16">
        <v>51</v>
      </c>
      <c r="M352" s="17">
        <f t="shared" si="15"/>
        <v>30.3725490196078</v>
      </c>
      <c r="N352" s="17">
        <f t="shared" si="16"/>
        <v>1.82021151586369</v>
      </c>
      <c r="O352" s="16">
        <f t="shared" si="17"/>
        <v>9.16568047337278</v>
      </c>
      <c r="P352" s="16">
        <v>15.6</v>
      </c>
      <c r="Q352" s="16">
        <v>3.25</v>
      </c>
      <c r="R352" s="16">
        <v>8.35</v>
      </c>
      <c r="S352" s="16">
        <v>31.81</v>
      </c>
      <c r="T352" s="16">
        <v>58</v>
      </c>
      <c r="U352" s="25">
        <v>29</v>
      </c>
      <c r="V352" s="15">
        <v>0</v>
      </c>
    </row>
    <row r="353" spans="1:22">
      <c r="A353" s="1">
        <v>1626</v>
      </c>
      <c r="B353" s="14" t="s">
        <v>22</v>
      </c>
      <c r="C353" s="15">
        <v>92</v>
      </c>
      <c r="D353" s="15" t="s">
        <v>23</v>
      </c>
      <c r="E353" s="16" t="s">
        <v>24</v>
      </c>
      <c r="F353" s="16" t="s">
        <v>25</v>
      </c>
      <c r="G353" s="16" t="s">
        <v>25</v>
      </c>
      <c r="H353" s="16">
        <v>4.08</v>
      </c>
      <c r="I353" s="16">
        <v>20.36</v>
      </c>
      <c r="J353" s="16">
        <v>12.43</v>
      </c>
      <c r="K353" s="16">
        <v>0.85</v>
      </c>
      <c r="L353" s="16">
        <v>55</v>
      </c>
      <c r="M353" s="17">
        <f t="shared" si="15"/>
        <v>7.41818181818182</v>
      </c>
      <c r="N353" s="17">
        <f t="shared" si="16"/>
        <v>0.328238133547868</v>
      </c>
      <c r="O353" s="16">
        <f t="shared" si="17"/>
        <v>4.8</v>
      </c>
      <c r="P353" s="16">
        <v>16.2</v>
      </c>
      <c r="Q353" s="16">
        <v>4.17</v>
      </c>
      <c r="R353" s="16">
        <v>1.44</v>
      </c>
      <c r="S353" s="16">
        <v>3.68</v>
      </c>
      <c r="T353" s="16">
        <v>486</v>
      </c>
      <c r="U353" s="25">
        <v>29</v>
      </c>
      <c r="V353" s="15">
        <v>0</v>
      </c>
    </row>
    <row r="354" spans="1:22">
      <c r="A354" s="1">
        <v>1631</v>
      </c>
      <c r="B354" s="14" t="s">
        <v>22</v>
      </c>
      <c r="C354" s="15">
        <v>92</v>
      </c>
      <c r="D354" s="15" t="s">
        <v>23</v>
      </c>
      <c r="E354" s="16" t="s">
        <v>24</v>
      </c>
      <c r="F354" s="16" t="s">
        <v>25</v>
      </c>
      <c r="G354" s="16" t="s">
        <v>25</v>
      </c>
      <c r="H354" s="16">
        <v>35.8</v>
      </c>
      <c r="I354" s="16">
        <v>20.11</v>
      </c>
      <c r="J354" s="16">
        <v>20.05</v>
      </c>
      <c r="K354" s="16">
        <v>0.56</v>
      </c>
      <c r="L354" s="16">
        <v>61</v>
      </c>
      <c r="M354" s="17">
        <f t="shared" si="15"/>
        <v>58.6885245901639</v>
      </c>
      <c r="N354" s="17">
        <f t="shared" si="16"/>
        <v>1.785536159601</v>
      </c>
      <c r="O354" s="16">
        <f t="shared" si="17"/>
        <v>63.9285714285714</v>
      </c>
      <c r="P354" s="16">
        <v>14.2</v>
      </c>
      <c r="Q354" s="16">
        <v>3.08</v>
      </c>
      <c r="R354" s="16">
        <v>1.1</v>
      </c>
      <c r="S354" s="16">
        <v>2.32</v>
      </c>
      <c r="T354" s="16">
        <v>318</v>
      </c>
      <c r="U354" s="25">
        <v>29</v>
      </c>
      <c r="V354" s="15">
        <v>0</v>
      </c>
    </row>
    <row r="355" spans="1:22">
      <c r="A355" s="1">
        <v>1632</v>
      </c>
      <c r="B355" s="14" t="s">
        <v>22</v>
      </c>
      <c r="C355" s="15">
        <v>92</v>
      </c>
      <c r="D355" s="15" t="s">
        <v>23</v>
      </c>
      <c r="E355" s="16" t="s">
        <v>24</v>
      </c>
      <c r="F355" s="16" t="s">
        <v>25</v>
      </c>
      <c r="G355" s="16" t="s">
        <v>25</v>
      </c>
      <c r="H355" s="16">
        <v>4.8</v>
      </c>
      <c r="I355" s="16">
        <v>21.08</v>
      </c>
      <c r="J355" s="16">
        <v>23.04</v>
      </c>
      <c r="K355" s="16">
        <v>0.6</v>
      </c>
      <c r="L355" s="16">
        <v>60</v>
      </c>
      <c r="M355" s="17">
        <f t="shared" si="15"/>
        <v>8</v>
      </c>
      <c r="N355" s="17">
        <f t="shared" si="16"/>
        <v>0.208333333333333</v>
      </c>
      <c r="O355" s="16">
        <f t="shared" si="17"/>
        <v>8</v>
      </c>
      <c r="P355" s="16">
        <v>14.2</v>
      </c>
      <c r="Q355" s="16">
        <v>3.83</v>
      </c>
      <c r="R355" s="16">
        <v>0.95</v>
      </c>
      <c r="S355" s="16">
        <v>2.31</v>
      </c>
      <c r="T355" s="16">
        <v>297</v>
      </c>
      <c r="U355" s="25">
        <v>29</v>
      </c>
      <c r="V355" s="15">
        <v>0</v>
      </c>
    </row>
    <row r="356" spans="1:22">
      <c r="A356" s="1">
        <v>1633</v>
      </c>
      <c r="B356" s="14" t="s">
        <v>22</v>
      </c>
      <c r="C356" s="15">
        <v>67</v>
      </c>
      <c r="D356" s="22" t="s">
        <v>28</v>
      </c>
      <c r="E356" s="16" t="s">
        <v>24</v>
      </c>
      <c r="F356" s="16" t="s">
        <v>31</v>
      </c>
      <c r="G356" s="16" t="s">
        <v>32</v>
      </c>
      <c r="H356" s="16">
        <v>1.05</v>
      </c>
      <c r="I356" s="16">
        <v>36.36</v>
      </c>
      <c r="J356" s="16">
        <v>6.99</v>
      </c>
      <c r="K356" s="16">
        <v>1.26</v>
      </c>
      <c r="M356" s="17" t="e">
        <f t="shared" si="15"/>
        <v>#DIV/0!</v>
      </c>
      <c r="N356" s="17">
        <f t="shared" si="16"/>
        <v>0.150214592274678</v>
      </c>
      <c r="O356" s="16">
        <f t="shared" si="17"/>
        <v>0.833333333333333</v>
      </c>
      <c r="P356" s="16">
        <v>20</v>
      </c>
      <c r="Q356" s="16">
        <v>3.4</v>
      </c>
      <c r="R356" s="16">
        <v>1.14</v>
      </c>
      <c r="T356" s="16">
        <v>128</v>
      </c>
      <c r="U356" s="25">
        <v>25</v>
      </c>
      <c r="V356" s="15">
        <v>0</v>
      </c>
    </row>
    <row r="357" spans="1:22">
      <c r="A357" s="1">
        <v>1634</v>
      </c>
      <c r="B357" s="14" t="s">
        <v>22</v>
      </c>
      <c r="C357" s="15">
        <v>67</v>
      </c>
      <c r="D357" s="22" t="s">
        <v>28</v>
      </c>
      <c r="E357" s="16" t="s">
        <v>24</v>
      </c>
      <c r="F357" s="16" t="s">
        <v>31</v>
      </c>
      <c r="G357" s="16" t="s">
        <v>32</v>
      </c>
      <c r="H357" s="16">
        <v>12.24</v>
      </c>
      <c r="I357" s="16">
        <v>15.85</v>
      </c>
      <c r="J357" s="16">
        <v>17.05</v>
      </c>
      <c r="K357" s="16">
        <v>0.52</v>
      </c>
      <c r="L357" s="16">
        <v>37</v>
      </c>
      <c r="M357" s="17">
        <f t="shared" si="15"/>
        <v>33.0810810810811</v>
      </c>
      <c r="N357" s="17">
        <f t="shared" si="16"/>
        <v>0.717888563049853</v>
      </c>
      <c r="O357" s="16">
        <f t="shared" si="17"/>
        <v>23.5384615384615</v>
      </c>
      <c r="P357" s="16">
        <v>14.9</v>
      </c>
      <c r="Q357" s="16">
        <v>3.17</v>
      </c>
      <c r="R357" s="16">
        <v>2.65</v>
      </c>
      <c r="S357" s="16">
        <v>11.24</v>
      </c>
      <c r="T357" s="16">
        <v>50</v>
      </c>
      <c r="U357" s="25">
        <v>45</v>
      </c>
      <c r="V357" s="15">
        <v>0</v>
      </c>
    </row>
    <row r="358" spans="1:22">
      <c r="A358" s="1">
        <v>1635</v>
      </c>
      <c r="B358" s="14" t="s">
        <v>22</v>
      </c>
      <c r="C358" s="15">
        <v>67</v>
      </c>
      <c r="D358" s="15" t="s">
        <v>23</v>
      </c>
      <c r="E358" s="16" t="s">
        <v>24</v>
      </c>
      <c r="F358" s="16" t="s">
        <v>25</v>
      </c>
      <c r="G358" s="16" t="s">
        <v>25</v>
      </c>
      <c r="H358" s="16">
        <v>3</v>
      </c>
      <c r="I358" s="16">
        <v>22.18</v>
      </c>
      <c r="J358" s="16">
        <v>19.47</v>
      </c>
      <c r="K358" s="16">
        <v>1.09</v>
      </c>
      <c r="L358" s="16">
        <v>37</v>
      </c>
      <c r="M358" s="17">
        <f t="shared" si="15"/>
        <v>8.10810810810811</v>
      </c>
      <c r="N358" s="17">
        <f t="shared" si="16"/>
        <v>0.154083204930663</v>
      </c>
      <c r="O358" s="16">
        <f t="shared" si="17"/>
        <v>2.75229357798165</v>
      </c>
      <c r="P358" s="16">
        <v>14.4</v>
      </c>
      <c r="Q358" s="16">
        <v>2.74</v>
      </c>
      <c r="R358" s="16">
        <v>7.82</v>
      </c>
      <c r="S358" s="16">
        <v>24.81</v>
      </c>
      <c r="T358" s="16">
        <v>66</v>
      </c>
      <c r="U358" s="25">
        <v>45</v>
      </c>
      <c r="V358" s="15">
        <v>1</v>
      </c>
    </row>
    <row r="359" spans="1:22">
      <c r="A359" s="1">
        <v>1636</v>
      </c>
      <c r="B359" s="14" t="s">
        <v>26</v>
      </c>
      <c r="C359" s="15">
        <v>69</v>
      </c>
      <c r="D359" s="15" t="s">
        <v>23</v>
      </c>
      <c r="E359" s="16" t="s">
        <v>29</v>
      </c>
      <c r="F359" s="16" t="s">
        <v>29</v>
      </c>
      <c r="G359" s="16" t="s">
        <v>29</v>
      </c>
      <c r="H359" s="16">
        <v>21.46</v>
      </c>
      <c r="I359" s="16">
        <v>19.61</v>
      </c>
      <c r="J359" s="16">
        <v>65.38</v>
      </c>
      <c r="K359" s="16">
        <v>1.11</v>
      </c>
      <c r="M359" s="17" t="e">
        <f t="shared" si="15"/>
        <v>#DIV/0!</v>
      </c>
      <c r="N359" s="17">
        <f t="shared" si="16"/>
        <v>0.328234934230652</v>
      </c>
      <c r="O359" s="16">
        <f t="shared" si="17"/>
        <v>19.3333333333333</v>
      </c>
      <c r="P359" s="16">
        <v>13.8</v>
      </c>
      <c r="Q359" s="16">
        <v>3.05</v>
      </c>
      <c r="R359" s="16">
        <v>6.57</v>
      </c>
      <c r="S359" s="16">
        <v>23.04</v>
      </c>
      <c r="T359" s="16">
        <v>35</v>
      </c>
      <c r="U359" s="25">
        <v>9</v>
      </c>
      <c r="V359" s="15">
        <v>1</v>
      </c>
    </row>
    <row r="360" spans="1:22">
      <c r="A360" s="1">
        <v>1637</v>
      </c>
      <c r="B360" s="14" t="s">
        <v>26</v>
      </c>
      <c r="C360" s="15">
        <v>60</v>
      </c>
      <c r="D360" s="15" t="s">
        <v>27</v>
      </c>
      <c r="E360" s="16" t="s">
        <v>24</v>
      </c>
      <c r="F360" s="16" t="s">
        <v>25</v>
      </c>
      <c r="G360" s="16" t="s">
        <v>25</v>
      </c>
      <c r="H360" s="16">
        <v>13.64</v>
      </c>
      <c r="I360" s="16">
        <v>8.65</v>
      </c>
      <c r="J360" s="16">
        <v>8.47</v>
      </c>
      <c r="K360" s="16">
        <v>1.05</v>
      </c>
      <c r="M360" s="17" t="e">
        <f t="shared" si="15"/>
        <v>#DIV/0!</v>
      </c>
      <c r="N360" s="17">
        <f t="shared" si="16"/>
        <v>1.61038961038961</v>
      </c>
      <c r="O360" s="16">
        <f t="shared" si="17"/>
        <v>12.9904761904762</v>
      </c>
      <c r="P360" s="16">
        <v>14.2</v>
      </c>
      <c r="Q360" s="16">
        <v>3.82</v>
      </c>
      <c r="R360" s="16">
        <v>4.73</v>
      </c>
      <c r="S360" s="16">
        <v>9.19</v>
      </c>
      <c r="T360" s="16">
        <v>166</v>
      </c>
      <c r="U360" s="25">
        <v>12</v>
      </c>
      <c r="V360" s="15">
        <v>0</v>
      </c>
    </row>
    <row r="361" spans="1:22">
      <c r="A361" s="1">
        <v>1638</v>
      </c>
      <c r="B361" s="14" t="s">
        <v>26</v>
      </c>
      <c r="C361" s="15">
        <v>40</v>
      </c>
      <c r="D361" s="22" t="s">
        <v>35</v>
      </c>
      <c r="E361" s="16" t="s">
        <v>24</v>
      </c>
      <c r="F361" s="16" t="s">
        <v>25</v>
      </c>
      <c r="G361" s="16" t="s">
        <v>25</v>
      </c>
      <c r="H361" s="16">
        <v>5.1</v>
      </c>
      <c r="I361" s="16">
        <v>20.18</v>
      </c>
      <c r="J361" s="16">
        <v>2.35</v>
      </c>
      <c r="K361" s="16">
        <v>5.84</v>
      </c>
      <c r="M361" s="17" t="e">
        <f t="shared" si="15"/>
        <v>#DIV/0!</v>
      </c>
      <c r="N361" s="17">
        <f t="shared" si="16"/>
        <v>2.17021276595745</v>
      </c>
      <c r="O361" s="16">
        <f t="shared" si="17"/>
        <v>0.873287671232877</v>
      </c>
      <c r="P361" s="16">
        <v>12</v>
      </c>
      <c r="Q361" s="16">
        <v>4.03</v>
      </c>
      <c r="R361" s="16">
        <v>8.33</v>
      </c>
      <c r="S361" s="16">
        <v>20.06</v>
      </c>
      <c r="T361" s="16">
        <v>310</v>
      </c>
      <c r="U361" s="25">
        <v>31</v>
      </c>
      <c r="V361" s="15">
        <v>0</v>
      </c>
    </row>
    <row r="362" spans="1:22">
      <c r="A362" s="1">
        <v>1639</v>
      </c>
      <c r="B362" s="14" t="s">
        <v>22</v>
      </c>
      <c r="C362" s="15">
        <v>74</v>
      </c>
      <c r="D362" s="15" t="s">
        <v>23</v>
      </c>
      <c r="E362" s="16" t="s">
        <v>24</v>
      </c>
      <c r="F362" s="16" t="s">
        <v>25</v>
      </c>
      <c r="G362" s="16" t="s">
        <v>25</v>
      </c>
      <c r="H362" s="16">
        <v>75.52</v>
      </c>
      <c r="I362" s="16">
        <v>15.26</v>
      </c>
      <c r="J362" s="16">
        <v>14.34</v>
      </c>
      <c r="K362" s="16">
        <v>2.69</v>
      </c>
      <c r="M362" s="17" t="e">
        <f t="shared" si="15"/>
        <v>#DIV/0!</v>
      </c>
      <c r="N362" s="17">
        <f t="shared" si="16"/>
        <v>5.26638772663877</v>
      </c>
      <c r="O362" s="16">
        <f t="shared" si="17"/>
        <v>28.0743494423792</v>
      </c>
      <c r="P362" s="16">
        <v>12.7</v>
      </c>
      <c r="Q362" s="16">
        <v>6.43</v>
      </c>
      <c r="R362" s="16">
        <v>15.19</v>
      </c>
      <c r="S362" s="16">
        <v>51.85</v>
      </c>
      <c r="T362" s="16">
        <v>259</v>
      </c>
      <c r="U362" s="25">
        <v>15</v>
      </c>
      <c r="V362" s="15">
        <v>1</v>
      </c>
    </row>
    <row r="363" spans="1:22">
      <c r="A363" s="1">
        <v>1641</v>
      </c>
      <c r="B363" s="14" t="s">
        <v>26</v>
      </c>
      <c r="C363" s="15">
        <v>68</v>
      </c>
      <c r="D363" s="22" t="s">
        <v>35</v>
      </c>
      <c r="E363" s="16" t="s">
        <v>29</v>
      </c>
      <c r="F363" s="16" t="s">
        <v>29</v>
      </c>
      <c r="G363" s="16" t="s">
        <v>29</v>
      </c>
      <c r="H363" s="16">
        <v>6.2</v>
      </c>
      <c r="I363" s="16">
        <v>17.59</v>
      </c>
      <c r="J363" s="16">
        <v>21.29</v>
      </c>
      <c r="K363" s="16">
        <v>0.23</v>
      </c>
      <c r="L363" s="16">
        <v>13</v>
      </c>
      <c r="M363" s="17">
        <f t="shared" si="15"/>
        <v>47.6923076923077</v>
      </c>
      <c r="N363" s="17">
        <f t="shared" si="16"/>
        <v>0.291216533583842</v>
      </c>
      <c r="O363" s="16">
        <f t="shared" si="17"/>
        <v>26.9565217391304</v>
      </c>
      <c r="P363" s="16">
        <v>20.5</v>
      </c>
      <c r="Q363" s="16">
        <v>1.55</v>
      </c>
      <c r="R363" s="16">
        <v>4.51</v>
      </c>
      <c r="S363" s="16">
        <v>18.14</v>
      </c>
      <c r="T363" s="16">
        <v>48</v>
      </c>
      <c r="U363" s="25">
        <v>39</v>
      </c>
      <c r="V363" s="15">
        <v>1</v>
      </c>
    </row>
    <row r="364" spans="1:22">
      <c r="A364" s="1">
        <v>1643</v>
      </c>
      <c r="B364" s="14" t="s">
        <v>26</v>
      </c>
      <c r="C364" s="15">
        <v>61</v>
      </c>
      <c r="D364" s="15" t="s">
        <v>30</v>
      </c>
      <c r="E364" s="16" t="s">
        <v>24</v>
      </c>
      <c r="F364" s="16" t="s">
        <v>31</v>
      </c>
      <c r="G364" s="16" t="s">
        <v>32</v>
      </c>
      <c r="H364" s="16">
        <v>36.09</v>
      </c>
      <c r="I364" s="16">
        <v>29.51</v>
      </c>
      <c r="J364" s="16">
        <v>31.02</v>
      </c>
      <c r="K364" s="16">
        <v>4.92</v>
      </c>
      <c r="M364" s="17" t="e">
        <f t="shared" si="15"/>
        <v>#DIV/0!</v>
      </c>
      <c r="N364" s="17">
        <f t="shared" si="16"/>
        <v>1.16344294003868</v>
      </c>
      <c r="O364" s="16">
        <f t="shared" si="17"/>
        <v>7.33536585365854</v>
      </c>
      <c r="P364" s="16">
        <v>17.1</v>
      </c>
      <c r="Q364" s="16">
        <v>2.45</v>
      </c>
      <c r="R364" s="16">
        <v>11.51</v>
      </c>
      <c r="S364" s="16">
        <v>35.77</v>
      </c>
      <c r="T364" s="16">
        <v>57</v>
      </c>
      <c r="U364" s="25">
        <v>41</v>
      </c>
      <c r="V364" s="15">
        <v>0</v>
      </c>
    </row>
    <row r="365" spans="1:22">
      <c r="A365" s="1">
        <v>1644</v>
      </c>
      <c r="B365" s="14" t="s">
        <v>26</v>
      </c>
      <c r="C365" s="15">
        <v>84</v>
      </c>
      <c r="D365" s="15" t="s">
        <v>27</v>
      </c>
      <c r="E365" s="16" t="s">
        <v>29</v>
      </c>
      <c r="F365" s="16" t="s">
        <v>29</v>
      </c>
      <c r="G365" s="16" t="s">
        <v>29</v>
      </c>
      <c r="H365" s="16">
        <v>33.38</v>
      </c>
      <c r="I365" s="16">
        <v>11.73</v>
      </c>
      <c r="J365" s="16">
        <v>13.08</v>
      </c>
      <c r="K365" s="16">
        <v>1.82</v>
      </c>
      <c r="L365" s="16">
        <v>35</v>
      </c>
      <c r="M365" s="17">
        <f t="shared" si="15"/>
        <v>95.3714285714286</v>
      </c>
      <c r="N365" s="17">
        <f t="shared" si="16"/>
        <v>2.5519877675841</v>
      </c>
      <c r="O365" s="16">
        <f t="shared" si="17"/>
        <v>18.3406593406593</v>
      </c>
      <c r="P365" s="16">
        <v>17.6</v>
      </c>
      <c r="Q365" s="16">
        <v>1.84</v>
      </c>
      <c r="R365" s="16">
        <v>14.98</v>
      </c>
      <c r="S365" s="16">
        <v>73.26</v>
      </c>
      <c r="T365" s="16">
        <v>60</v>
      </c>
      <c r="U365" s="25">
        <v>11</v>
      </c>
      <c r="V365" s="15">
        <v>1</v>
      </c>
    </row>
    <row r="366" spans="1:22">
      <c r="A366" s="1">
        <v>1645</v>
      </c>
      <c r="B366" s="14" t="s">
        <v>26</v>
      </c>
      <c r="C366" s="15">
        <v>46</v>
      </c>
      <c r="D366" s="15" t="s">
        <v>23</v>
      </c>
      <c r="E366" s="16" t="s">
        <v>24</v>
      </c>
      <c r="F366" s="16" t="s">
        <v>25</v>
      </c>
      <c r="G366" s="16" t="s">
        <v>25</v>
      </c>
      <c r="H366" s="16">
        <v>2.78</v>
      </c>
      <c r="I366" s="16">
        <v>11.54</v>
      </c>
      <c r="J366" s="16">
        <v>7</v>
      </c>
      <c r="K366" s="16">
        <v>0.84</v>
      </c>
      <c r="M366" s="17" t="e">
        <f t="shared" si="15"/>
        <v>#DIV/0!</v>
      </c>
      <c r="N366" s="17">
        <f t="shared" si="16"/>
        <v>0.397142857142857</v>
      </c>
      <c r="O366" s="16">
        <f t="shared" si="17"/>
        <v>3.30952380952381</v>
      </c>
      <c r="P366" s="16">
        <v>14.2</v>
      </c>
      <c r="Q366" s="16">
        <v>8.16</v>
      </c>
      <c r="R366" s="16">
        <v>4.51</v>
      </c>
      <c r="S366" s="16">
        <v>15.08</v>
      </c>
      <c r="T366" s="16">
        <v>91</v>
      </c>
      <c r="U366" s="25">
        <v>29</v>
      </c>
      <c r="V366" s="15">
        <v>0</v>
      </c>
    </row>
    <row r="367" spans="1:22">
      <c r="A367" s="1">
        <v>1646</v>
      </c>
      <c r="B367" s="14" t="s">
        <v>26</v>
      </c>
      <c r="C367" s="15">
        <v>51</v>
      </c>
      <c r="D367" s="15" t="s">
        <v>23</v>
      </c>
      <c r="E367" s="16" t="s">
        <v>24</v>
      </c>
      <c r="F367" s="16" t="s">
        <v>25</v>
      </c>
      <c r="G367" s="16" t="s">
        <v>25</v>
      </c>
      <c r="H367" s="16">
        <v>7.23</v>
      </c>
      <c r="I367" s="16">
        <v>18.77</v>
      </c>
      <c r="J367" s="16">
        <v>12.41</v>
      </c>
      <c r="K367" s="16">
        <v>2.36</v>
      </c>
      <c r="M367" s="17" t="e">
        <f t="shared" si="15"/>
        <v>#DIV/0!</v>
      </c>
      <c r="N367" s="17">
        <f t="shared" si="16"/>
        <v>0.5825946817083</v>
      </c>
      <c r="O367" s="16">
        <f t="shared" si="17"/>
        <v>3.0635593220339</v>
      </c>
      <c r="P367" s="16">
        <v>12</v>
      </c>
      <c r="Q367" s="16">
        <v>3.19</v>
      </c>
      <c r="R367" s="16">
        <v>4.08</v>
      </c>
      <c r="S367" s="16">
        <v>11.14</v>
      </c>
      <c r="T367" s="16">
        <v>279</v>
      </c>
      <c r="U367" s="25">
        <v>28</v>
      </c>
      <c r="V367" s="15">
        <v>0</v>
      </c>
    </row>
    <row r="368" spans="1:22">
      <c r="A368" s="1">
        <v>1647</v>
      </c>
      <c r="B368" s="14" t="s">
        <v>26</v>
      </c>
      <c r="C368" s="15">
        <v>30</v>
      </c>
      <c r="D368" s="22" t="s">
        <v>28</v>
      </c>
      <c r="E368" s="16" t="s">
        <v>24</v>
      </c>
      <c r="F368" s="16" t="s">
        <v>25</v>
      </c>
      <c r="G368" s="16" t="s">
        <v>25</v>
      </c>
      <c r="H368" s="16">
        <v>8.93</v>
      </c>
      <c r="I368" s="16">
        <v>15.3</v>
      </c>
      <c r="J368" s="16">
        <v>6.31</v>
      </c>
      <c r="K368" s="16">
        <v>0.64</v>
      </c>
      <c r="L368" s="16">
        <v>62</v>
      </c>
      <c r="M368" s="17">
        <f t="shared" si="15"/>
        <v>14.4032258064516</v>
      </c>
      <c r="N368" s="17">
        <f t="shared" si="16"/>
        <v>1.41521394611727</v>
      </c>
      <c r="O368" s="16">
        <f t="shared" si="17"/>
        <v>13.953125</v>
      </c>
      <c r="P368" s="16">
        <v>17.6</v>
      </c>
      <c r="Q368" s="16">
        <v>2.32</v>
      </c>
      <c r="R368" s="16">
        <v>1.55</v>
      </c>
      <c r="S368" s="16">
        <v>4.76</v>
      </c>
      <c r="T368" s="16">
        <v>67</v>
      </c>
      <c r="U368" s="25">
        <v>36</v>
      </c>
      <c r="V368" s="15">
        <v>0</v>
      </c>
    </row>
    <row r="369" spans="1:22">
      <c r="A369" s="1">
        <v>1648</v>
      </c>
      <c r="B369" s="14" t="s">
        <v>22</v>
      </c>
      <c r="C369" s="15">
        <v>77</v>
      </c>
      <c r="D369" s="15" t="s">
        <v>27</v>
      </c>
      <c r="E369" s="16" t="s">
        <v>24</v>
      </c>
      <c r="F369" s="16" t="s">
        <v>25</v>
      </c>
      <c r="G369" s="16" t="s">
        <v>25</v>
      </c>
      <c r="H369" s="16">
        <v>14.34</v>
      </c>
      <c r="I369" s="16">
        <v>17.1</v>
      </c>
      <c r="J369" s="16">
        <v>19.89</v>
      </c>
      <c r="K369" s="16">
        <v>1.85</v>
      </c>
      <c r="L369" s="16">
        <v>91</v>
      </c>
      <c r="M369" s="17">
        <f t="shared" si="15"/>
        <v>15.7582417582418</v>
      </c>
      <c r="N369" s="17">
        <f t="shared" si="16"/>
        <v>0.720965309200603</v>
      </c>
      <c r="O369" s="16">
        <f t="shared" si="17"/>
        <v>7.75135135135135</v>
      </c>
      <c r="P369" s="16">
        <v>14.8</v>
      </c>
      <c r="Q369" s="16">
        <v>3.62</v>
      </c>
      <c r="R369" s="16">
        <v>6.99</v>
      </c>
      <c r="S369" s="16">
        <v>30.62</v>
      </c>
      <c r="T369" s="16">
        <v>126</v>
      </c>
      <c r="U369" s="25">
        <v>26</v>
      </c>
      <c r="V369" s="15">
        <v>1</v>
      </c>
    </row>
    <row r="370" spans="1:22">
      <c r="A370" s="1">
        <v>1649</v>
      </c>
      <c r="B370" s="14" t="s">
        <v>22</v>
      </c>
      <c r="C370" s="15">
        <v>77</v>
      </c>
      <c r="D370" s="15" t="s">
        <v>27</v>
      </c>
      <c r="E370" s="16" t="s">
        <v>24</v>
      </c>
      <c r="F370" s="16" t="s">
        <v>25</v>
      </c>
      <c r="G370" s="16" t="s">
        <v>25</v>
      </c>
      <c r="H370" s="16">
        <v>5.02</v>
      </c>
      <c r="I370" s="16">
        <v>11.81</v>
      </c>
      <c r="J370" s="16">
        <v>12.98</v>
      </c>
      <c r="K370" s="16">
        <v>1.91</v>
      </c>
      <c r="M370" s="17" t="e">
        <f t="shared" si="15"/>
        <v>#DIV/0!</v>
      </c>
      <c r="N370" s="17">
        <f t="shared" si="16"/>
        <v>0.386748844375963</v>
      </c>
      <c r="O370" s="16">
        <f t="shared" si="17"/>
        <v>2.6282722513089</v>
      </c>
      <c r="P370" s="16">
        <v>13</v>
      </c>
      <c r="Q370" s="16">
        <v>6.47</v>
      </c>
      <c r="R370" s="16">
        <v>2.94</v>
      </c>
      <c r="S370" s="16">
        <v>9.8</v>
      </c>
      <c r="T370" s="16">
        <v>279</v>
      </c>
      <c r="U370" s="25">
        <v>26</v>
      </c>
      <c r="V370" s="15">
        <v>1</v>
      </c>
    </row>
    <row r="371" spans="1:22">
      <c r="A371" s="1">
        <v>1650</v>
      </c>
      <c r="B371" s="14" t="s">
        <v>22</v>
      </c>
      <c r="C371" s="15">
        <v>77</v>
      </c>
      <c r="D371" s="15" t="s">
        <v>27</v>
      </c>
      <c r="E371" s="16" t="s">
        <v>24</v>
      </c>
      <c r="F371" s="16" t="s">
        <v>25</v>
      </c>
      <c r="G371" s="16" t="s">
        <v>25</v>
      </c>
      <c r="H371" s="16">
        <v>3.32</v>
      </c>
      <c r="I371" s="16">
        <v>13.62</v>
      </c>
      <c r="J371" s="16">
        <v>22.13</v>
      </c>
      <c r="K371" s="16">
        <v>1.09</v>
      </c>
      <c r="L371" s="16">
        <v>83</v>
      </c>
      <c r="M371" s="17">
        <f t="shared" si="15"/>
        <v>4</v>
      </c>
      <c r="N371" s="17">
        <f t="shared" si="16"/>
        <v>0.150022593764121</v>
      </c>
      <c r="O371" s="16">
        <f t="shared" si="17"/>
        <v>3.04587155963303</v>
      </c>
      <c r="P371" s="16">
        <v>14.8</v>
      </c>
      <c r="Q371" s="16">
        <v>5.39</v>
      </c>
      <c r="R371" s="16">
        <v>1.61</v>
      </c>
      <c r="S371" s="16">
        <v>5.26</v>
      </c>
      <c r="T371" s="16">
        <v>471</v>
      </c>
      <c r="U371" s="25">
        <v>26</v>
      </c>
      <c r="V371" s="15">
        <v>1</v>
      </c>
    </row>
    <row r="372" spans="1:22">
      <c r="A372" s="1">
        <v>1651</v>
      </c>
      <c r="B372" s="14" t="s">
        <v>26</v>
      </c>
      <c r="C372" s="15">
        <v>73</v>
      </c>
      <c r="D372" s="15" t="s">
        <v>23</v>
      </c>
      <c r="E372" s="16" t="s">
        <v>24</v>
      </c>
      <c r="F372" s="16" t="s">
        <v>31</v>
      </c>
      <c r="G372" s="16" t="s">
        <v>33</v>
      </c>
      <c r="H372" s="16">
        <v>16.22</v>
      </c>
      <c r="I372" s="16">
        <v>12.67</v>
      </c>
      <c r="J372" s="16">
        <v>10.46</v>
      </c>
      <c r="K372" s="16">
        <v>0.96</v>
      </c>
      <c r="L372" s="16">
        <v>61</v>
      </c>
      <c r="M372" s="17">
        <f t="shared" si="15"/>
        <v>26.5901639344262</v>
      </c>
      <c r="N372" s="17">
        <f t="shared" si="16"/>
        <v>1.55066921606119</v>
      </c>
      <c r="O372" s="16">
        <f t="shared" si="17"/>
        <v>16.8958333333333</v>
      </c>
      <c r="P372" s="16">
        <v>15</v>
      </c>
      <c r="Q372" s="16">
        <v>2.31</v>
      </c>
      <c r="R372" s="16">
        <v>4.17</v>
      </c>
      <c r="S372" s="16">
        <v>17.93</v>
      </c>
      <c r="T372" s="16">
        <v>118</v>
      </c>
      <c r="U372" s="25">
        <v>16</v>
      </c>
      <c r="V372" s="15">
        <v>0</v>
      </c>
    </row>
    <row r="373" spans="1:22">
      <c r="A373" s="1">
        <v>1654</v>
      </c>
      <c r="B373" s="14" t="s">
        <v>26</v>
      </c>
      <c r="C373" s="15">
        <v>56</v>
      </c>
      <c r="D373" s="15" t="s">
        <v>27</v>
      </c>
      <c r="E373" s="16" t="s">
        <v>29</v>
      </c>
      <c r="F373" s="16" t="s">
        <v>29</v>
      </c>
      <c r="G373" s="16" t="s">
        <v>29</v>
      </c>
      <c r="H373" s="16">
        <v>70.01</v>
      </c>
      <c r="I373" s="16">
        <v>27.67</v>
      </c>
      <c r="J373" s="16">
        <v>18.84</v>
      </c>
      <c r="K373" s="16">
        <v>1.19</v>
      </c>
      <c r="L373" s="16">
        <v>45</v>
      </c>
      <c r="M373" s="17">
        <f t="shared" si="15"/>
        <v>155.577777777778</v>
      </c>
      <c r="N373" s="17">
        <f t="shared" si="16"/>
        <v>3.71602972399151</v>
      </c>
      <c r="O373" s="16">
        <f t="shared" si="17"/>
        <v>58.8319327731093</v>
      </c>
      <c r="P373" s="16">
        <v>16.6</v>
      </c>
      <c r="Q373" s="16">
        <v>4.94</v>
      </c>
      <c r="R373" s="16">
        <v>8.27</v>
      </c>
      <c r="S373" s="16">
        <v>30.66</v>
      </c>
      <c r="T373" s="16">
        <v>33</v>
      </c>
      <c r="U373" s="25">
        <v>146</v>
      </c>
      <c r="V373" s="15">
        <v>0</v>
      </c>
    </row>
    <row r="374" spans="1:22">
      <c r="A374" s="1">
        <v>1656</v>
      </c>
      <c r="B374" s="14" t="s">
        <v>26</v>
      </c>
      <c r="C374" s="15">
        <v>51</v>
      </c>
      <c r="D374" s="22" t="s">
        <v>28</v>
      </c>
      <c r="E374" s="16" t="s">
        <v>29</v>
      </c>
      <c r="F374" s="16" t="s">
        <v>29</v>
      </c>
      <c r="G374" s="16" t="s">
        <v>29</v>
      </c>
      <c r="H374" s="16">
        <v>7.82</v>
      </c>
      <c r="I374" s="16">
        <v>21.6</v>
      </c>
      <c r="J374" s="16">
        <v>95.81</v>
      </c>
      <c r="K374" s="16">
        <v>2.67</v>
      </c>
      <c r="L374" s="16">
        <v>21</v>
      </c>
      <c r="M374" s="17">
        <f t="shared" si="15"/>
        <v>37.2380952380952</v>
      </c>
      <c r="N374" s="17">
        <f t="shared" si="16"/>
        <v>0.0816198726646488</v>
      </c>
      <c r="O374" s="16">
        <f t="shared" si="17"/>
        <v>2.92883895131086</v>
      </c>
      <c r="P374" s="16">
        <v>29.6</v>
      </c>
      <c r="Q374" s="16">
        <v>1.58</v>
      </c>
      <c r="R374" s="16">
        <v>5</v>
      </c>
      <c r="S374" s="16">
        <v>15.98</v>
      </c>
      <c r="T374" s="16">
        <v>138</v>
      </c>
      <c r="U374" s="25">
        <v>6</v>
      </c>
      <c r="V374" s="15">
        <v>1</v>
      </c>
    </row>
    <row r="375" spans="1:22">
      <c r="A375" s="1">
        <v>1657</v>
      </c>
      <c r="B375" s="14" t="s">
        <v>26</v>
      </c>
      <c r="C375" s="15">
        <v>52</v>
      </c>
      <c r="D375" s="15" t="s">
        <v>23</v>
      </c>
      <c r="E375" s="16" t="s">
        <v>24</v>
      </c>
      <c r="F375" s="16" t="s">
        <v>25</v>
      </c>
      <c r="G375" s="16" t="s">
        <v>25</v>
      </c>
      <c r="H375" s="16">
        <v>4.55</v>
      </c>
      <c r="I375" s="16">
        <v>14.07</v>
      </c>
      <c r="J375" s="16">
        <v>68.65</v>
      </c>
      <c r="K375" s="16">
        <v>0.58</v>
      </c>
      <c r="L375" s="16">
        <v>82</v>
      </c>
      <c r="M375" s="17">
        <f t="shared" si="15"/>
        <v>5.54878048780488</v>
      </c>
      <c r="N375" s="17">
        <f t="shared" si="16"/>
        <v>0.0662782228696285</v>
      </c>
      <c r="O375" s="16">
        <f t="shared" si="17"/>
        <v>7.8448275862069</v>
      </c>
      <c r="P375" s="16">
        <v>13.3</v>
      </c>
      <c r="Q375" s="16">
        <v>1.84</v>
      </c>
      <c r="R375" s="16">
        <v>1.1</v>
      </c>
      <c r="S375" s="16">
        <v>3.34</v>
      </c>
      <c r="T375" s="16">
        <v>188</v>
      </c>
      <c r="U375" s="25">
        <v>35</v>
      </c>
      <c r="V375" s="15">
        <v>1</v>
      </c>
    </row>
    <row r="376" spans="1:22">
      <c r="A376" s="1">
        <v>1658</v>
      </c>
      <c r="B376" s="14" t="s">
        <v>26</v>
      </c>
      <c r="C376" s="15">
        <v>52</v>
      </c>
      <c r="D376" s="15" t="s">
        <v>23</v>
      </c>
      <c r="E376" s="16" t="s">
        <v>24</v>
      </c>
      <c r="F376" s="16" t="s">
        <v>25</v>
      </c>
      <c r="G376" s="16" t="s">
        <v>25</v>
      </c>
      <c r="H376" s="16">
        <v>15.69</v>
      </c>
      <c r="I376" s="16">
        <v>12.6</v>
      </c>
      <c r="J376" s="16">
        <v>59.97</v>
      </c>
      <c r="K376" s="16">
        <v>0.62</v>
      </c>
      <c r="L376" s="16">
        <v>111</v>
      </c>
      <c r="M376" s="17">
        <f t="shared" si="15"/>
        <v>14.1351351351351</v>
      </c>
      <c r="N376" s="17">
        <f t="shared" si="16"/>
        <v>0.261630815407704</v>
      </c>
      <c r="O376" s="16">
        <f t="shared" si="17"/>
        <v>25.3064516129032</v>
      </c>
      <c r="P376" s="16">
        <v>13.1</v>
      </c>
      <c r="Q376" s="16">
        <v>2.47</v>
      </c>
      <c r="R376" s="16">
        <v>4.27</v>
      </c>
      <c r="S376" s="16">
        <v>16.9</v>
      </c>
      <c r="T376" s="16">
        <v>211</v>
      </c>
      <c r="U376" s="25">
        <v>35</v>
      </c>
      <c r="V376" s="15">
        <v>1</v>
      </c>
    </row>
    <row r="377" spans="1:22">
      <c r="A377" s="1">
        <v>1659</v>
      </c>
      <c r="B377" s="14" t="s">
        <v>26</v>
      </c>
      <c r="C377" s="15">
        <v>40</v>
      </c>
      <c r="D377" s="22" t="s">
        <v>28</v>
      </c>
      <c r="E377" s="16" t="s">
        <v>29</v>
      </c>
      <c r="F377" s="16" t="s">
        <v>29</v>
      </c>
      <c r="G377" s="16" t="s">
        <v>29</v>
      </c>
      <c r="H377" s="16">
        <v>16.82</v>
      </c>
      <c r="I377" s="16">
        <v>23.82</v>
      </c>
      <c r="J377" s="16">
        <v>37.24</v>
      </c>
      <c r="K377" s="16">
        <v>0.69</v>
      </c>
      <c r="L377" s="16">
        <v>43</v>
      </c>
      <c r="M377" s="17">
        <f t="shared" si="15"/>
        <v>39.1162790697674</v>
      </c>
      <c r="N377" s="17">
        <f t="shared" si="16"/>
        <v>0.451664876476907</v>
      </c>
      <c r="O377" s="16">
        <f t="shared" si="17"/>
        <v>24.3768115942029</v>
      </c>
      <c r="P377" s="16">
        <v>25.5</v>
      </c>
      <c r="Q377" s="16">
        <v>3.54</v>
      </c>
      <c r="R377" s="16">
        <v>7.32</v>
      </c>
      <c r="T377" s="16">
        <v>141</v>
      </c>
      <c r="U377" s="25">
        <v>35</v>
      </c>
      <c r="V377" s="15">
        <v>0</v>
      </c>
    </row>
    <row r="378" spans="1:22">
      <c r="A378" s="1">
        <v>1660</v>
      </c>
      <c r="B378" s="14" t="s">
        <v>26</v>
      </c>
      <c r="C378" s="15">
        <v>40</v>
      </c>
      <c r="D378" s="15" t="s">
        <v>23</v>
      </c>
      <c r="E378" s="16" t="s">
        <v>24</v>
      </c>
      <c r="F378" s="16" t="s">
        <v>31</v>
      </c>
      <c r="G378" s="16" t="s">
        <v>33</v>
      </c>
      <c r="H378" s="16">
        <v>5.88</v>
      </c>
      <c r="I378" s="16">
        <v>29.04</v>
      </c>
      <c r="J378" s="16">
        <v>13.12</v>
      </c>
      <c r="K378" s="16">
        <v>2.06</v>
      </c>
      <c r="L378" s="16">
        <v>88</v>
      </c>
      <c r="M378" s="17">
        <f t="shared" si="15"/>
        <v>6.68181818181818</v>
      </c>
      <c r="N378" s="17">
        <f t="shared" si="16"/>
        <v>0.448170731707317</v>
      </c>
      <c r="O378" s="16">
        <f t="shared" si="17"/>
        <v>2.85436893203883</v>
      </c>
      <c r="P378" s="16">
        <v>15.1</v>
      </c>
      <c r="Q378" s="16">
        <v>4.9</v>
      </c>
      <c r="R378" s="16">
        <v>10.64</v>
      </c>
      <c r="S378" s="16">
        <v>37.4</v>
      </c>
      <c r="T378" s="16">
        <v>251</v>
      </c>
      <c r="U378" s="25">
        <v>35</v>
      </c>
      <c r="V378" s="15">
        <v>0</v>
      </c>
    </row>
    <row r="379" spans="1:22">
      <c r="A379" s="1">
        <v>1661</v>
      </c>
      <c r="B379" s="14" t="s">
        <v>26</v>
      </c>
      <c r="C379" s="15">
        <v>46</v>
      </c>
      <c r="D379" s="15" t="s">
        <v>23</v>
      </c>
      <c r="E379" s="16" t="s">
        <v>24</v>
      </c>
      <c r="F379" s="16" t="s">
        <v>25</v>
      </c>
      <c r="G379" s="16" t="s">
        <v>25</v>
      </c>
      <c r="H379" s="16">
        <v>16.36</v>
      </c>
      <c r="I379" s="16">
        <v>9.99</v>
      </c>
      <c r="J379" s="16">
        <v>4.29</v>
      </c>
      <c r="K379" s="16">
        <v>2.21</v>
      </c>
      <c r="L379" s="16">
        <v>110</v>
      </c>
      <c r="M379" s="17">
        <f t="shared" si="15"/>
        <v>14.8727272727273</v>
      </c>
      <c r="N379" s="17">
        <f t="shared" si="16"/>
        <v>3.81351981351981</v>
      </c>
      <c r="O379" s="16">
        <f t="shared" si="17"/>
        <v>7.4027149321267</v>
      </c>
      <c r="P379" s="16">
        <v>14</v>
      </c>
      <c r="Q379" s="16">
        <v>3.32</v>
      </c>
      <c r="R379" s="16">
        <v>10.67</v>
      </c>
      <c r="S379" s="16">
        <v>38.19</v>
      </c>
      <c r="T379" s="16">
        <v>252</v>
      </c>
      <c r="U379" s="25">
        <v>30</v>
      </c>
      <c r="V379" s="15">
        <v>0</v>
      </c>
    </row>
    <row r="380" spans="1:22">
      <c r="A380" s="1">
        <v>1663</v>
      </c>
      <c r="B380" s="14" t="s">
        <v>26</v>
      </c>
      <c r="C380" s="15">
        <v>66</v>
      </c>
      <c r="D380" s="15" t="s">
        <v>23</v>
      </c>
      <c r="E380" s="16" t="s">
        <v>24</v>
      </c>
      <c r="F380" s="16" t="s">
        <v>25</v>
      </c>
      <c r="G380" s="16" t="s">
        <v>25</v>
      </c>
      <c r="H380" s="16">
        <v>1.59</v>
      </c>
      <c r="I380" s="16">
        <v>22.33</v>
      </c>
      <c r="J380" s="16">
        <v>8.86</v>
      </c>
      <c r="K380" s="16">
        <v>2.02</v>
      </c>
      <c r="M380" s="17" t="e">
        <f t="shared" si="15"/>
        <v>#DIV/0!</v>
      </c>
      <c r="N380" s="17">
        <f t="shared" si="16"/>
        <v>0.179458239277652</v>
      </c>
      <c r="O380" s="16">
        <f t="shared" si="17"/>
        <v>0.787128712871287</v>
      </c>
      <c r="P380" s="16">
        <v>14</v>
      </c>
      <c r="Q380" s="16">
        <v>4.53</v>
      </c>
      <c r="R380" s="16">
        <v>1.22</v>
      </c>
      <c r="T380" s="16">
        <v>171</v>
      </c>
      <c r="U380" s="25">
        <v>21</v>
      </c>
      <c r="V380" s="15">
        <v>0</v>
      </c>
    </row>
    <row r="381" spans="1:22">
      <c r="A381" s="1">
        <v>1664</v>
      </c>
      <c r="B381" s="14" t="s">
        <v>22</v>
      </c>
      <c r="C381" s="15">
        <v>24</v>
      </c>
      <c r="D381" s="15" t="s">
        <v>23</v>
      </c>
      <c r="E381" s="16" t="s">
        <v>24</v>
      </c>
      <c r="F381" s="16" t="s">
        <v>31</v>
      </c>
      <c r="G381" s="16" t="s">
        <v>32</v>
      </c>
      <c r="H381" s="16">
        <v>49.35</v>
      </c>
      <c r="I381" s="16">
        <v>25.26</v>
      </c>
      <c r="J381" s="16">
        <v>11.71</v>
      </c>
      <c r="K381" s="16">
        <v>7.71</v>
      </c>
      <c r="L381" s="16">
        <v>45</v>
      </c>
      <c r="M381" s="17">
        <f t="shared" si="15"/>
        <v>109.666666666667</v>
      </c>
      <c r="N381" s="17">
        <f t="shared" si="16"/>
        <v>4.21434671221178</v>
      </c>
      <c r="O381" s="16">
        <f t="shared" si="17"/>
        <v>6.40077821011673</v>
      </c>
      <c r="P381" s="16">
        <v>15.5</v>
      </c>
      <c r="Q381" s="16">
        <v>1.53</v>
      </c>
      <c r="R381" s="16">
        <v>16.78</v>
      </c>
      <c r="S381" s="16">
        <v>150</v>
      </c>
      <c r="T381" s="16">
        <v>56</v>
      </c>
      <c r="U381" s="25">
        <v>26</v>
      </c>
      <c r="V381" s="15">
        <v>0</v>
      </c>
    </row>
    <row r="382" spans="1:22">
      <c r="A382" s="1">
        <v>1665</v>
      </c>
      <c r="B382" s="14" t="s">
        <v>22</v>
      </c>
      <c r="C382" s="15">
        <v>24</v>
      </c>
      <c r="D382" s="15" t="s">
        <v>23</v>
      </c>
      <c r="E382" s="16" t="s">
        <v>29</v>
      </c>
      <c r="F382" s="16" t="s">
        <v>29</v>
      </c>
      <c r="G382" s="16" t="s">
        <v>29</v>
      </c>
      <c r="H382" s="16">
        <v>16.04</v>
      </c>
      <c r="I382" s="16">
        <v>30.43</v>
      </c>
      <c r="J382" s="16">
        <v>15.45</v>
      </c>
      <c r="K382" s="16">
        <v>2.64</v>
      </c>
      <c r="L382" s="16">
        <v>48</v>
      </c>
      <c r="M382" s="17">
        <f t="shared" si="15"/>
        <v>33.4166666666667</v>
      </c>
      <c r="N382" s="17">
        <f t="shared" si="16"/>
        <v>1.03818770226537</v>
      </c>
      <c r="O382" s="16">
        <f t="shared" si="17"/>
        <v>6.07575757575758</v>
      </c>
      <c r="P382" s="16">
        <v>17.6</v>
      </c>
      <c r="Q382" s="16">
        <v>1.51</v>
      </c>
      <c r="R382" s="16">
        <v>20</v>
      </c>
      <c r="S382" s="16">
        <v>150</v>
      </c>
      <c r="T382" s="16">
        <v>45</v>
      </c>
      <c r="U382" s="25">
        <v>26</v>
      </c>
      <c r="V382" s="15">
        <v>0</v>
      </c>
    </row>
    <row r="383" spans="1:22">
      <c r="A383" s="1">
        <v>1666</v>
      </c>
      <c r="B383" s="14" t="s">
        <v>22</v>
      </c>
      <c r="C383" s="15">
        <v>24</v>
      </c>
      <c r="D383" s="15" t="s">
        <v>23</v>
      </c>
      <c r="E383" s="16" t="s">
        <v>24</v>
      </c>
      <c r="F383" s="16" t="s">
        <v>25</v>
      </c>
      <c r="G383" s="16" t="s">
        <v>25</v>
      </c>
      <c r="H383" s="16">
        <v>2.66</v>
      </c>
      <c r="I383" s="16">
        <v>18.82</v>
      </c>
      <c r="J383" s="16">
        <v>14.49</v>
      </c>
      <c r="K383" s="16">
        <v>1.26</v>
      </c>
      <c r="L383" s="16">
        <v>69</v>
      </c>
      <c r="M383" s="17">
        <f t="shared" si="15"/>
        <v>3.85507246376812</v>
      </c>
      <c r="N383" s="17">
        <f t="shared" si="16"/>
        <v>0.183574879227053</v>
      </c>
      <c r="O383" s="16">
        <f t="shared" si="17"/>
        <v>2.11111111111111</v>
      </c>
      <c r="P383" s="16">
        <v>14.5</v>
      </c>
      <c r="Q383" s="16">
        <v>2.36</v>
      </c>
      <c r="R383" s="16">
        <v>12.12</v>
      </c>
      <c r="S383" s="16">
        <v>56.16</v>
      </c>
      <c r="T383" s="16">
        <v>176</v>
      </c>
      <c r="U383" s="25">
        <v>26</v>
      </c>
      <c r="V383" s="15">
        <v>0</v>
      </c>
    </row>
    <row r="384" spans="1:22">
      <c r="A384" s="1">
        <v>1667</v>
      </c>
      <c r="B384" s="14" t="s">
        <v>26</v>
      </c>
      <c r="C384" s="15">
        <v>51</v>
      </c>
      <c r="D384" s="15" t="s">
        <v>23</v>
      </c>
      <c r="E384" s="16" t="s">
        <v>24</v>
      </c>
      <c r="F384" s="16" t="s">
        <v>25</v>
      </c>
      <c r="G384" s="16" t="s">
        <v>25</v>
      </c>
      <c r="H384" s="16">
        <v>13.43</v>
      </c>
      <c r="I384" s="16">
        <v>12.57</v>
      </c>
      <c r="J384" s="16">
        <v>22.3</v>
      </c>
      <c r="K384" s="16">
        <v>1.13</v>
      </c>
      <c r="M384" s="17" t="e">
        <f t="shared" si="15"/>
        <v>#DIV/0!</v>
      </c>
      <c r="N384" s="17">
        <f t="shared" si="16"/>
        <v>0.602242152466368</v>
      </c>
      <c r="O384" s="16">
        <f t="shared" si="17"/>
        <v>11.8849557522124</v>
      </c>
      <c r="P384" s="16">
        <v>14.5</v>
      </c>
      <c r="Q384" s="16">
        <v>3.95</v>
      </c>
      <c r="T384" s="16">
        <v>133</v>
      </c>
      <c r="U384" s="25">
        <v>31</v>
      </c>
      <c r="V384" s="15">
        <v>0</v>
      </c>
    </row>
    <row r="385" spans="1:22">
      <c r="A385" s="1">
        <v>1668</v>
      </c>
      <c r="B385" s="14" t="s">
        <v>22</v>
      </c>
      <c r="C385" s="15">
        <v>80</v>
      </c>
      <c r="D385" s="15" t="s">
        <v>30</v>
      </c>
      <c r="E385" s="16" t="s">
        <v>24</v>
      </c>
      <c r="F385" s="16" t="s">
        <v>25</v>
      </c>
      <c r="G385" s="16" t="s">
        <v>25</v>
      </c>
      <c r="H385" s="16">
        <v>5.03</v>
      </c>
      <c r="I385" s="16">
        <v>7.67</v>
      </c>
      <c r="J385" s="16">
        <v>8.19</v>
      </c>
      <c r="K385" s="16">
        <v>0.88</v>
      </c>
      <c r="M385" s="17" t="e">
        <f t="shared" si="15"/>
        <v>#DIV/0!</v>
      </c>
      <c r="N385" s="17">
        <f t="shared" si="16"/>
        <v>0.614163614163614</v>
      </c>
      <c r="O385" s="16">
        <f t="shared" si="17"/>
        <v>5.71590909090909</v>
      </c>
      <c r="P385" s="16">
        <v>11.4</v>
      </c>
      <c r="Q385" s="16">
        <v>2.92</v>
      </c>
      <c r="R385" s="16">
        <v>0.76</v>
      </c>
      <c r="T385" s="16">
        <v>175</v>
      </c>
      <c r="U385" s="25">
        <v>14</v>
      </c>
      <c r="V385" s="15">
        <v>0</v>
      </c>
    </row>
    <row r="386" spans="1:22">
      <c r="A386" s="1">
        <v>1669</v>
      </c>
      <c r="B386" s="14" t="s">
        <v>26</v>
      </c>
      <c r="C386" s="15">
        <v>86</v>
      </c>
      <c r="D386" s="15" t="s">
        <v>23</v>
      </c>
      <c r="E386" s="16" t="s">
        <v>24</v>
      </c>
      <c r="F386" s="16" t="s">
        <v>25</v>
      </c>
      <c r="G386" s="16" t="s">
        <v>25</v>
      </c>
      <c r="H386" s="16">
        <v>3.96</v>
      </c>
      <c r="I386" s="16">
        <v>10.44</v>
      </c>
      <c r="J386" s="16">
        <v>26.19</v>
      </c>
      <c r="K386" s="16">
        <v>1.58</v>
      </c>
      <c r="L386" s="16">
        <v>71</v>
      </c>
      <c r="M386" s="17">
        <f t="shared" si="15"/>
        <v>5.57746478873239</v>
      </c>
      <c r="N386" s="17">
        <f t="shared" si="16"/>
        <v>0.151202749140893</v>
      </c>
      <c r="O386" s="16">
        <f t="shared" si="17"/>
        <v>2.50632911392405</v>
      </c>
      <c r="P386" s="16">
        <v>14.9</v>
      </c>
      <c r="Q386" s="16">
        <v>7.1</v>
      </c>
      <c r="R386" s="16">
        <v>1.39</v>
      </c>
      <c r="S386" s="16">
        <v>5.08</v>
      </c>
      <c r="T386" s="16">
        <v>165</v>
      </c>
      <c r="U386" s="25">
        <v>46</v>
      </c>
      <c r="V386" s="15">
        <v>1</v>
      </c>
    </row>
    <row r="387" spans="1:22">
      <c r="A387" s="1">
        <v>1670</v>
      </c>
      <c r="B387" s="14" t="s">
        <v>22</v>
      </c>
      <c r="C387" s="15">
        <v>87</v>
      </c>
      <c r="D387" s="15" t="s">
        <v>23</v>
      </c>
      <c r="E387" s="16" t="s">
        <v>29</v>
      </c>
      <c r="F387" s="16" t="s">
        <v>29</v>
      </c>
      <c r="G387" s="16" t="s">
        <v>29</v>
      </c>
      <c r="H387" s="16">
        <v>11.06</v>
      </c>
      <c r="I387" s="16">
        <v>15.38</v>
      </c>
      <c r="J387" s="16">
        <v>24.52</v>
      </c>
      <c r="K387" s="16">
        <v>0.93</v>
      </c>
      <c r="L387" s="16">
        <v>71</v>
      </c>
      <c r="M387" s="17">
        <f t="shared" ref="M387:M450" si="18">100*H387/L387</f>
        <v>15.5774647887324</v>
      </c>
      <c r="N387" s="17">
        <f t="shared" ref="N387:N450" si="19">H387/J387</f>
        <v>0.451060358890702</v>
      </c>
      <c r="O387" s="16">
        <f t="shared" ref="O387:O450" si="20">H387/K387</f>
        <v>11.8924731182796</v>
      </c>
      <c r="P387" s="16">
        <v>13.2</v>
      </c>
      <c r="Q387" s="16">
        <v>3.26</v>
      </c>
      <c r="R387" s="16">
        <v>6.68</v>
      </c>
      <c r="S387" s="16">
        <v>18.34</v>
      </c>
      <c r="T387" s="16">
        <v>23</v>
      </c>
      <c r="U387" s="25">
        <v>14</v>
      </c>
      <c r="V387" s="15">
        <v>1</v>
      </c>
    </row>
    <row r="388" spans="1:22">
      <c r="A388" s="1">
        <v>1671</v>
      </c>
      <c r="B388" s="14" t="s">
        <v>22</v>
      </c>
      <c r="C388" s="15">
        <v>33</v>
      </c>
      <c r="D388" s="22" t="s">
        <v>28</v>
      </c>
      <c r="E388" s="16" t="s">
        <v>24</v>
      </c>
      <c r="F388" s="16" t="s">
        <v>25</v>
      </c>
      <c r="G388" s="16" t="s">
        <v>25</v>
      </c>
      <c r="H388" s="16">
        <v>1.33</v>
      </c>
      <c r="I388" s="16">
        <v>8.61</v>
      </c>
      <c r="J388" s="16">
        <v>2.2</v>
      </c>
      <c r="K388" s="16">
        <v>0.52</v>
      </c>
      <c r="L388" s="16">
        <v>102</v>
      </c>
      <c r="M388" s="17">
        <f t="shared" si="18"/>
        <v>1.30392156862745</v>
      </c>
      <c r="N388" s="17">
        <f t="shared" si="19"/>
        <v>0.604545454545454</v>
      </c>
      <c r="O388" s="16">
        <f t="shared" si="20"/>
        <v>2.55769230769231</v>
      </c>
      <c r="P388" s="16">
        <v>14.5</v>
      </c>
      <c r="Q388" s="16">
        <v>2.77</v>
      </c>
      <c r="R388" s="16">
        <v>0.23</v>
      </c>
      <c r="S388" s="16">
        <v>2.31</v>
      </c>
      <c r="T388" s="16">
        <v>164</v>
      </c>
      <c r="U388" s="25">
        <v>10</v>
      </c>
      <c r="V388" s="15">
        <v>0</v>
      </c>
    </row>
    <row r="389" spans="1:22">
      <c r="A389" s="1">
        <v>1673</v>
      </c>
      <c r="B389" s="14" t="s">
        <v>26</v>
      </c>
      <c r="C389" s="15">
        <v>28</v>
      </c>
      <c r="D389" s="15" t="s">
        <v>27</v>
      </c>
      <c r="E389" s="16" t="s">
        <v>24</v>
      </c>
      <c r="F389" s="16" t="s">
        <v>25</v>
      </c>
      <c r="G389" s="16" t="s">
        <v>25</v>
      </c>
      <c r="H389" s="16">
        <v>15.03</v>
      </c>
      <c r="I389" s="16">
        <v>23.61</v>
      </c>
      <c r="J389" s="16">
        <v>8.3</v>
      </c>
      <c r="K389" s="16">
        <v>3.15</v>
      </c>
      <c r="L389" s="16">
        <v>111</v>
      </c>
      <c r="M389" s="17">
        <f t="shared" si="18"/>
        <v>13.5405405405405</v>
      </c>
      <c r="N389" s="17">
        <f t="shared" si="19"/>
        <v>1.81084337349398</v>
      </c>
      <c r="O389" s="16">
        <f t="shared" si="20"/>
        <v>4.77142857142857</v>
      </c>
      <c r="P389" s="16">
        <v>12.8</v>
      </c>
      <c r="Q389" s="16">
        <v>4.44</v>
      </c>
      <c r="R389" s="16">
        <v>4.74</v>
      </c>
      <c r="S389" s="16">
        <v>16.52</v>
      </c>
      <c r="T389" s="16">
        <v>239</v>
      </c>
      <c r="U389" s="25">
        <v>35</v>
      </c>
      <c r="V389" s="15">
        <v>0</v>
      </c>
    </row>
    <row r="390" spans="1:22">
      <c r="A390" s="1">
        <v>1674</v>
      </c>
      <c r="B390" s="14" t="s">
        <v>26</v>
      </c>
      <c r="C390" s="15">
        <v>61</v>
      </c>
      <c r="D390" s="22" t="s">
        <v>28</v>
      </c>
      <c r="E390" s="16" t="s">
        <v>24</v>
      </c>
      <c r="F390" s="16" t="s">
        <v>25</v>
      </c>
      <c r="G390" s="16" t="s">
        <v>25</v>
      </c>
      <c r="H390" s="16">
        <v>1.45</v>
      </c>
      <c r="I390" s="16">
        <v>35.74</v>
      </c>
      <c r="J390" s="16">
        <v>8.3</v>
      </c>
      <c r="K390" s="16">
        <v>0.36</v>
      </c>
      <c r="M390" s="17" t="e">
        <f t="shared" si="18"/>
        <v>#DIV/0!</v>
      </c>
      <c r="N390" s="17">
        <f t="shared" si="19"/>
        <v>0.174698795180723</v>
      </c>
      <c r="O390" s="16">
        <f t="shared" si="20"/>
        <v>4.02777777777778</v>
      </c>
      <c r="P390" s="16">
        <v>29.7</v>
      </c>
      <c r="Q390" s="16">
        <v>4.79</v>
      </c>
      <c r="R390" s="16">
        <v>1.32</v>
      </c>
      <c r="S390" s="16">
        <v>6.03</v>
      </c>
      <c r="T390" s="16">
        <v>282</v>
      </c>
      <c r="U390" s="25">
        <v>66</v>
      </c>
      <c r="V390" s="15">
        <v>0</v>
      </c>
    </row>
    <row r="391" spans="1:22">
      <c r="A391" s="1">
        <v>1676</v>
      </c>
      <c r="B391" s="14" t="s">
        <v>22</v>
      </c>
      <c r="C391" s="15">
        <v>49</v>
      </c>
      <c r="D391" s="15" t="s">
        <v>27</v>
      </c>
      <c r="E391" s="16" t="s">
        <v>24</v>
      </c>
      <c r="F391" s="16" t="s">
        <v>31</v>
      </c>
      <c r="G391" s="16" t="s">
        <v>33</v>
      </c>
      <c r="H391" s="16">
        <v>8.07</v>
      </c>
      <c r="I391" s="16">
        <v>12.91</v>
      </c>
      <c r="J391" s="16">
        <v>7.62</v>
      </c>
      <c r="K391" s="16">
        <v>0.8</v>
      </c>
      <c r="L391" s="16">
        <v>54</v>
      </c>
      <c r="M391" s="17">
        <f t="shared" si="18"/>
        <v>14.9444444444444</v>
      </c>
      <c r="N391" s="17">
        <f t="shared" si="19"/>
        <v>1.05905511811024</v>
      </c>
      <c r="O391" s="16">
        <f t="shared" si="20"/>
        <v>10.0875</v>
      </c>
      <c r="P391" s="16">
        <v>14.5</v>
      </c>
      <c r="Q391" s="16">
        <v>5.78</v>
      </c>
      <c r="R391" s="16">
        <v>2.02</v>
      </c>
      <c r="S391" s="16">
        <v>9.94</v>
      </c>
      <c r="T391" s="16">
        <v>70</v>
      </c>
      <c r="U391" s="25">
        <v>22</v>
      </c>
      <c r="V391" s="15">
        <v>1</v>
      </c>
    </row>
    <row r="392" spans="1:22">
      <c r="A392" s="1">
        <v>1677</v>
      </c>
      <c r="B392" s="14" t="s">
        <v>22</v>
      </c>
      <c r="C392" s="15">
        <v>49</v>
      </c>
      <c r="D392" s="15" t="s">
        <v>27</v>
      </c>
      <c r="E392" s="16" t="s">
        <v>24</v>
      </c>
      <c r="F392" s="16" t="s">
        <v>31</v>
      </c>
      <c r="G392" s="16" t="s">
        <v>32</v>
      </c>
      <c r="H392" s="16">
        <v>20.48</v>
      </c>
      <c r="I392" s="16">
        <v>18.8</v>
      </c>
      <c r="J392" s="16">
        <v>15.93</v>
      </c>
      <c r="K392" s="16">
        <v>0.87</v>
      </c>
      <c r="L392" s="16">
        <v>34</v>
      </c>
      <c r="M392" s="17">
        <f t="shared" si="18"/>
        <v>60.2352941176471</v>
      </c>
      <c r="N392" s="17">
        <f t="shared" si="19"/>
        <v>1.28562460765851</v>
      </c>
      <c r="O392" s="16">
        <f t="shared" si="20"/>
        <v>23.5402298850575</v>
      </c>
      <c r="P392" s="16">
        <v>16.2</v>
      </c>
      <c r="Q392" s="16">
        <v>3.32</v>
      </c>
      <c r="R392" s="16">
        <v>8.29</v>
      </c>
      <c r="S392" s="16">
        <v>36.28</v>
      </c>
      <c r="T392" s="16">
        <v>50</v>
      </c>
      <c r="U392" s="25">
        <v>22</v>
      </c>
      <c r="V392" s="15">
        <v>1</v>
      </c>
    </row>
    <row r="393" spans="1:22">
      <c r="A393" s="1">
        <v>1678</v>
      </c>
      <c r="B393" s="14" t="s">
        <v>22</v>
      </c>
      <c r="C393" s="15">
        <v>70</v>
      </c>
      <c r="D393" s="15" t="s">
        <v>23</v>
      </c>
      <c r="E393" s="16" t="s">
        <v>24</v>
      </c>
      <c r="F393" s="16" t="s">
        <v>25</v>
      </c>
      <c r="G393" s="16" t="s">
        <v>25</v>
      </c>
      <c r="H393" s="16">
        <v>1.41</v>
      </c>
      <c r="I393" s="16">
        <v>10.04</v>
      </c>
      <c r="J393" s="16">
        <v>22.9</v>
      </c>
      <c r="K393" s="16">
        <v>0.49</v>
      </c>
      <c r="M393" s="17" t="e">
        <f t="shared" si="18"/>
        <v>#DIV/0!</v>
      </c>
      <c r="N393" s="17">
        <f t="shared" si="19"/>
        <v>0.0615720524017467</v>
      </c>
      <c r="O393" s="16">
        <f t="shared" si="20"/>
        <v>2.87755102040816</v>
      </c>
      <c r="P393" s="16">
        <v>13.2</v>
      </c>
      <c r="Q393" s="16">
        <v>4.58</v>
      </c>
      <c r="R393" s="16">
        <v>1.1</v>
      </c>
      <c r="T393" s="16">
        <v>290</v>
      </c>
      <c r="U393" s="25">
        <v>24</v>
      </c>
      <c r="V393" s="15">
        <v>0</v>
      </c>
    </row>
    <row r="394" spans="1:22">
      <c r="A394" s="1">
        <v>1679</v>
      </c>
      <c r="B394" s="14" t="s">
        <v>22</v>
      </c>
      <c r="C394" s="15">
        <v>70</v>
      </c>
      <c r="D394" s="15" t="s">
        <v>27</v>
      </c>
      <c r="E394" s="16" t="s">
        <v>24</v>
      </c>
      <c r="F394" s="16" t="s">
        <v>25</v>
      </c>
      <c r="G394" s="16" t="s">
        <v>25</v>
      </c>
      <c r="H394" s="16">
        <v>10.35</v>
      </c>
      <c r="I394" s="16">
        <v>31.06</v>
      </c>
      <c r="J394" s="16">
        <v>34.2</v>
      </c>
      <c r="K394" s="16">
        <v>0.71</v>
      </c>
      <c r="L394" s="16">
        <v>83</v>
      </c>
      <c r="M394" s="17">
        <f t="shared" si="18"/>
        <v>12.4698795180723</v>
      </c>
      <c r="N394" s="17">
        <f t="shared" si="19"/>
        <v>0.302631578947368</v>
      </c>
      <c r="O394" s="16">
        <f t="shared" si="20"/>
        <v>14.5774647887324</v>
      </c>
      <c r="P394" s="16">
        <v>14.8</v>
      </c>
      <c r="Q394" s="16">
        <v>5.77</v>
      </c>
      <c r="R394" s="16">
        <v>9</v>
      </c>
      <c r="S394" s="16">
        <v>38.24</v>
      </c>
      <c r="T394" s="16">
        <v>84</v>
      </c>
      <c r="U394" s="25">
        <v>43</v>
      </c>
      <c r="V394" s="15">
        <v>1</v>
      </c>
    </row>
    <row r="395" spans="1:22">
      <c r="A395" s="1">
        <v>1681</v>
      </c>
      <c r="B395" s="14" t="s">
        <v>22</v>
      </c>
      <c r="C395" s="15">
        <v>75</v>
      </c>
      <c r="D395" s="15" t="s">
        <v>27</v>
      </c>
      <c r="E395" s="16" t="s">
        <v>24</v>
      </c>
      <c r="F395" s="16" t="s">
        <v>25</v>
      </c>
      <c r="G395" s="16" t="s">
        <v>25</v>
      </c>
      <c r="H395" s="16">
        <v>2.23</v>
      </c>
      <c r="I395" s="16">
        <v>12.51</v>
      </c>
      <c r="J395" s="16">
        <v>10.63</v>
      </c>
      <c r="K395" s="16">
        <v>0.47</v>
      </c>
      <c r="L395" s="16">
        <v>52</v>
      </c>
      <c r="M395" s="17">
        <f t="shared" si="18"/>
        <v>4.28846153846154</v>
      </c>
      <c r="N395" s="17">
        <f t="shared" si="19"/>
        <v>0.209783631232361</v>
      </c>
      <c r="O395" s="16">
        <f t="shared" si="20"/>
        <v>4.74468085106383</v>
      </c>
      <c r="P395" s="16">
        <v>17.8</v>
      </c>
      <c r="Q395" s="16">
        <v>3.82</v>
      </c>
      <c r="R395" s="16">
        <v>0.99</v>
      </c>
      <c r="S395" s="16">
        <v>4.55</v>
      </c>
      <c r="T395" s="16">
        <v>154</v>
      </c>
      <c r="U395" s="25">
        <v>24</v>
      </c>
      <c r="V395" s="15">
        <v>0</v>
      </c>
    </row>
    <row r="396" spans="1:22">
      <c r="A396" s="1">
        <v>1684</v>
      </c>
      <c r="B396" s="14" t="s">
        <v>22</v>
      </c>
      <c r="C396" s="15">
        <v>69</v>
      </c>
      <c r="D396" s="15" t="s">
        <v>23</v>
      </c>
      <c r="E396" s="16" t="s">
        <v>24</v>
      </c>
      <c r="F396" s="16" t="s">
        <v>25</v>
      </c>
      <c r="G396" s="16" t="s">
        <v>25</v>
      </c>
      <c r="H396" s="16">
        <v>16.72</v>
      </c>
      <c r="I396" s="16">
        <v>11.18</v>
      </c>
      <c r="J396" s="16">
        <v>5.05</v>
      </c>
      <c r="K396" s="16">
        <v>0.93</v>
      </c>
      <c r="M396" s="17" t="e">
        <f t="shared" si="18"/>
        <v>#DIV/0!</v>
      </c>
      <c r="N396" s="17">
        <f t="shared" si="19"/>
        <v>3.31089108910891</v>
      </c>
      <c r="O396" s="16">
        <f t="shared" si="20"/>
        <v>17.9784946236559</v>
      </c>
      <c r="P396" s="16">
        <v>10.3</v>
      </c>
      <c r="Q396" s="16">
        <v>2.47</v>
      </c>
      <c r="R396" s="16">
        <v>4.28</v>
      </c>
      <c r="S396" s="16">
        <v>11.4</v>
      </c>
      <c r="T396" s="16">
        <v>181</v>
      </c>
      <c r="U396" s="25">
        <v>14</v>
      </c>
      <c r="V396" s="15">
        <v>0</v>
      </c>
    </row>
    <row r="397" spans="1:22">
      <c r="A397" s="1">
        <v>1686</v>
      </c>
      <c r="B397" s="14" t="s">
        <v>22</v>
      </c>
      <c r="C397" s="15">
        <v>60</v>
      </c>
      <c r="D397" s="15" t="s">
        <v>27</v>
      </c>
      <c r="E397" s="16" t="s">
        <v>24</v>
      </c>
      <c r="F397" s="16" t="s">
        <v>25</v>
      </c>
      <c r="G397" s="16" t="s">
        <v>25</v>
      </c>
      <c r="H397" s="16">
        <v>7.33</v>
      </c>
      <c r="I397" s="16">
        <v>15.23</v>
      </c>
      <c r="J397" s="16">
        <v>8.88</v>
      </c>
      <c r="K397" s="16">
        <v>0.63</v>
      </c>
      <c r="M397" s="17" t="e">
        <f t="shared" si="18"/>
        <v>#DIV/0!</v>
      </c>
      <c r="N397" s="17">
        <f t="shared" si="19"/>
        <v>0.82545045045045</v>
      </c>
      <c r="O397" s="16">
        <f t="shared" si="20"/>
        <v>11.6349206349206</v>
      </c>
      <c r="P397" s="16">
        <v>10.8</v>
      </c>
      <c r="Q397" s="16">
        <v>2.97</v>
      </c>
      <c r="R397" s="16">
        <v>0.28</v>
      </c>
      <c r="T397" s="16">
        <v>323</v>
      </c>
      <c r="U397" s="25">
        <v>27</v>
      </c>
      <c r="V397" s="15">
        <v>0</v>
      </c>
    </row>
    <row r="398" spans="1:22">
      <c r="A398" s="1">
        <v>1688</v>
      </c>
      <c r="B398" s="14" t="s">
        <v>22</v>
      </c>
      <c r="C398" s="15">
        <v>70</v>
      </c>
      <c r="D398" s="15" t="s">
        <v>23</v>
      </c>
      <c r="E398" s="16" t="s">
        <v>24</v>
      </c>
      <c r="F398" s="16" t="s">
        <v>25</v>
      </c>
      <c r="G398" s="16" t="s">
        <v>25</v>
      </c>
      <c r="H398" s="16">
        <v>8.02</v>
      </c>
      <c r="I398" s="16">
        <v>10.88</v>
      </c>
      <c r="J398" s="16">
        <v>7.14</v>
      </c>
      <c r="K398" s="16">
        <v>1.5</v>
      </c>
      <c r="M398" s="17" t="e">
        <f t="shared" si="18"/>
        <v>#DIV/0!</v>
      </c>
      <c r="N398" s="17">
        <f t="shared" si="19"/>
        <v>1.12324929971989</v>
      </c>
      <c r="O398" s="16">
        <f t="shared" si="20"/>
        <v>5.34666666666667</v>
      </c>
      <c r="P398" s="16">
        <v>12.6</v>
      </c>
      <c r="Q398" s="16">
        <v>5.83</v>
      </c>
      <c r="R398" s="16">
        <v>10.24</v>
      </c>
      <c r="S398" s="16">
        <v>29.43</v>
      </c>
      <c r="T398" s="16">
        <v>107</v>
      </c>
      <c r="U398" s="25">
        <v>30</v>
      </c>
      <c r="V398" s="15">
        <v>0</v>
      </c>
    </row>
    <row r="399" spans="1:22">
      <c r="A399" s="1">
        <v>1689</v>
      </c>
      <c r="B399" s="14" t="s">
        <v>22</v>
      </c>
      <c r="C399" s="15">
        <v>70</v>
      </c>
      <c r="D399" s="15" t="s">
        <v>27</v>
      </c>
      <c r="E399" s="16" t="s">
        <v>29</v>
      </c>
      <c r="F399" s="16" t="s">
        <v>29</v>
      </c>
      <c r="G399" s="16" t="s">
        <v>29</v>
      </c>
      <c r="H399" s="16">
        <v>31.5</v>
      </c>
      <c r="I399" s="16">
        <v>29.43</v>
      </c>
      <c r="J399" s="16">
        <v>24.9</v>
      </c>
      <c r="K399" s="16">
        <v>2.74</v>
      </c>
      <c r="M399" s="17" t="e">
        <f t="shared" si="18"/>
        <v>#DIV/0!</v>
      </c>
      <c r="N399" s="17">
        <f t="shared" si="19"/>
        <v>1.26506024096386</v>
      </c>
      <c r="O399" s="16">
        <f t="shared" si="20"/>
        <v>11.4963503649635</v>
      </c>
      <c r="P399" s="16">
        <v>21.7</v>
      </c>
      <c r="Q399" s="16">
        <v>2.42</v>
      </c>
      <c r="R399" s="16">
        <v>4.24</v>
      </c>
      <c r="S399" s="16">
        <v>25.62</v>
      </c>
      <c r="T399" s="16">
        <v>78</v>
      </c>
      <c r="U399" s="25">
        <v>30</v>
      </c>
      <c r="V399" s="15">
        <v>0</v>
      </c>
    </row>
    <row r="400" spans="1:22">
      <c r="A400" s="1">
        <v>1691</v>
      </c>
      <c r="B400" s="14" t="s">
        <v>22</v>
      </c>
      <c r="C400" s="15">
        <v>53</v>
      </c>
      <c r="D400" s="15" t="s">
        <v>27</v>
      </c>
      <c r="E400" s="16" t="s">
        <v>24</v>
      </c>
      <c r="F400" s="16" t="s">
        <v>25</v>
      </c>
      <c r="G400" s="16" t="s">
        <v>25</v>
      </c>
      <c r="H400" s="16">
        <v>24.05</v>
      </c>
      <c r="I400" s="16">
        <v>29.47</v>
      </c>
      <c r="J400" s="16">
        <v>35.31</v>
      </c>
      <c r="K400" s="16">
        <v>6.43</v>
      </c>
      <c r="M400" s="17" t="e">
        <f t="shared" si="18"/>
        <v>#DIV/0!</v>
      </c>
      <c r="N400" s="17">
        <f t="shared" si="19"/>
        <v>0.681110167091475</v>
      </c>
      <c r="O400" s="16">
        <f t="shared" si="20"/>
        <v>3.7402799377916</v>
      </c>
      <c r="P400" s="16">
        <v>13.7</v>
      </c>
      <c r="Q400" s="16">
        <v>2.9</v>
      </c>
      <c r="T400" s="16">
        <v>56</v>
      </c>
      <c r="U400" s="25">
        <v>33</v>
      </c>
      <c r="V400" s="15">
        <v>0</v>
      </c>
    </row>
    <row r="401" spans="1:22">
      <c r="A401" s="1">
        <v>1694</v>
      </c>
      <c r="B401" s="14" t="s">
        <v>22</v>
      </c>
      <c r="C401" s="15">
        <v>75</v>
      </c>
      <c r="D401" s="15" t="s">
        <v>27</v>
      </c>
      <c r="E401" s="16" t="s">
        <v>24</v>
      </c>
      <c r="F401" s="16" t="s">
        <v>25</v>
      </c>
      <c r="G401" s="16" t="s">
        <v>25</v>
      </c>
      <c r="H401" s="16">
        <v>9.63</v>
      </c>
      <c r="I401" s="16">
        <v>40.45</v>
      </c>
      <c r="J401" s="16">
        <v>11.71</v>
      </c>
      <c r="K401" s="16">
        <v>0.86</v>
      </c>
      <c r="M401" s="17" t="e">
        <f t="shared" si="18"/>
        <v>#DIV/0!</v>
      </c>
      <c r="N401" s="17">
        <f t="shared" si="19"/>
        <v>0.822374039282664</v>
      </c>
      <c r="O401" s="16">
        <f t="shared" si="20"/>
        <v>11.1976744186047</v>
      </c>
      <c r="P401" s="16">
        <v>13.8</v>
      </c>
      <c r="Q401" s="16">
        <v>4.01</v>
      </c>
      <c r="R401" s="16">
        <v>3.94</v>
      </c>
      <c r="S401" s="16">
        <v>14.4</v>
      </c>
      <c r="T401" s="16">
        <v>86</v>
      </c>
      <c r="U401" s="25">
        <v>82</v>
      </c>
      <c r="V401" s="15">
        <v>0</v>
      </c>
    </row>
    <row r="402" spans="1:22">
      <c r="A402" s="1">
        <v>1695</v>
      </c>
      <c r="B402" s="14" t="s">
        <v>22</v>
      </c>
      <c r="C402" s="15">
        <v>75</v>
      </c>
      <c r="D402" s="15" t="s">
        <v>27</v>
      </c>
      <c r="E402" s="16" t="s">
        <v>24</v>
      </c>
      <c r="F402" s="16" t="s">
        <v>31</v>
      </c>
      <c r="G402" s="16" t="s">
        <v>33</v>
      </c>
      <c r="H402" s="16">
        <v>8.77</v>
      </c>
      <c r="I402" s="16">
        <v>45.48</v>
      </c>
      <c r="J402" s="16">
        <v>7.88</v>
      </c>
      <c r="K402" s="16">
        <v>1.52</v>
      </c>
      <c r="M402" s="17" t="e">
        <f t="shared" si="18"/>
        <v>#DIV/0!</v>
      </c>
      <c r="N402" s="17">
        <f t="shared" si="19"/>
        <v>1.11294416243655</v>
      </c>
      <c r="O402" s="16">
        <f t="shared" si="20"/>
        <v>5.76973684210526</v>
      </c>
      <c r="P402" s="16">
        <v>13.6</v>
      </c>
      <c r="Q402" s="16">
        <v>3.52</v>
      </c>
      <c r="R402" s="16">
        <v>3.26</v>
      </c>
      <c r="S402" s="16">
        <v>11.38</v>
      </c>
      <c r="T402" s="16">
        <v>165</v>
      </c>
      <c r="U402" s="25">
        <v>82</v>
      </c>
      <c r="V402" s="15">
        <v>0</v>
      </c>
    </row>
    <row r="403" spans="1:22">
      <c r="A403" s="1">
        <v>1700</v>
      </c>
      <c r="B403" s="14" t="s">
        <v>22</v>
      </c>
      <c r="C403" s="15">
        <v>62</v>
      </c>
      <c r="D403" s="15" t="s">
        <v>23</v>
      </c>
      <c r="E403" s="16" t="s">
        <v>24</v>
      </c>
      <c r="F403" s="16" t="s">
        <v>25</v>
      </c>
      <c r="G403" s="16" t="s">
        <v>25</v>
      </c>
      <c r="H403" s="16">
        <v>5.18</v>
      </c>
      <c r="I403" s="16">
        <v>9.98</v>
      </c>
      <c r="J403" s="16">
        <v>3.79</v>
      </c>
      <c r="K403" s="16">
        <v>1.53</v>
      </c>
      <c r="L403" s="16">
        <v>69</v>
      </c>
      <c r="M403" s="17">
        <f t="shared" si="18"/>
        <v>7.50724637681159</v>
      </c>
      <c r="N403" s="17">
        <f t="shared" si="19"/>
        <v>1.36675461741425</v>
      </c>
      <c r="O403" s="16">
        <f t="shared" si="20"/>
        <v>3.38562091503268</v>
      </c>
      <c r="P403" s="16">
        <v>13.8</v>
      </c>
      <c r="Q403" s="16">
        <v>2.59</v>
      </c>
      <c r="R403" s="16">
        <v>2.5</v>
      </c>
      <c r="S403" s="16">
        <v>8.64</v>
      </c>
      <c r="T403" s="16">
        <v>225</v>
      </c>
      <c r="U403" s="25">
        <v>16</v>
      </c>
      <c r="V403" s="15">
        <v>0</v>
      </c>
    </row>
    <row r="404" spans="1:22">
      <c r="A404" s="1">
        <v>1703</v>
      </c>
      <c r="B404" s="14" t="s">
        <v>26</v>
      </c>
      <c r="C404" s="15">
        <v>52</v>
      </c>
      <c r="D404" s="15" t="s">
        <v>27</v>
      </c>
      <c r="E404" s="16" t="s">
        <v>24</v>
      </c>
      <c r="F404" s="16" t="s">
        <v>25</v>
      </c>
      <c r="G404" s="16" t="s">
        <v>25</v>
      </c>
      <c r="H404" s="16">
        <v>53.56</v>
      </c>
      <c r="I404" s="16">
        <v>20.57</v>
      </c>
      <c r="J404" s="16">
        <v>1.57</v>
      </c>
      <c r="K404" s="16">
        <v>1.32</v>
      </c>
      <c r="L404" s="16">
        <v>91</v>
      </c>
      <c r="M404" s="17">
        <f t="shared" si="18"/>
        <v>58.8571428571429</v>
      </c>
      <c r="N404" s="17">
        <f t="shared" si="19"/>
        <v>34.1146496815287</v>
      </c>
      <c r="O404" s="16">
        <f t="shared" si="20"/>
        <v>40.5757575757576</v>
      </c>
      <c r="P404" s="16">
        <v>14.5</v>
      </c>
      <c r="Q404" s="16">
        <v>6.17</v>
      </c>
      <c r="R404" s="16">
        <v>1.96</v>
      </c>
      <c r="S404" s="16">
        <v>8.01</v>
      </c>
      <c r="T404" s="16">
        <v>118</v>
      </c>
      <c r="U404" s="25">
        <v>36</v>
      </c>
      <c r="V404" s="15">
        <v>0</v>
      </c>
    </row>
    <row r="405" spans="1:22">
      <c r="A405" s="1">
        <v>1704</v>
      </c>
      <c r="B405" s="14" t="s">
        <v>26</v>
      </c>
      <c r="C405" s="15">
        <v>52</v>
      </c>
      <c r="D405" s="15" t="s">
        <v>27</v>
      </c>
      <c r="E405" s="16" t="s">
        <v>24</v>
      </c>
      <c r="F405" s="16" t="s">
        <v>25</v>
      </c>
      <c r="G405" s="16" t="s">
        <v>25</v>
      </c>
      <c r="H405" s="16">
        <v>2.66</v>
      </c>
      <c r="I405" s="16">
        <v>23.59</v>
      </c>
      <c r="J405" s="16">
        <v>1.95</v>
      </c>
      <c r="K405" s="16">
        <v>1.11</v>
      </c>
      <c r="L405" s="16">
        <v>117</v>
      </c>
      <c r="M405" s="17">
        <f t="shared" si="18"/>
        <v>2.27350427350427</v>
      </c>
      <c r="N405" s="17">
        <f t="shared" si="19"/>
        <v>1.36410256410256</v>
      </c>
      <c r="O405" s="16">
        <f t="shared" si="20"/>
        <v>2.3963963963964</v>
      </c>
      <c r="P405" s="16">
        <v>14.2</v>
      </c>
      <c r="Q405" s="16">
        <v>7.4</v>
      </c>
      <c r="R405" s="16">
        <v>3.03</v>
      </c>
      <c r="S405" s="16">
        <v>13.64</v>
      </c>
      <c r="T405" s="16">
        <v>333</v>
      </c>
      <c r="U405" s="25">
        <v>36</v>
      </c>
      <c r="V405" s="15">
        <v>0</v>
      </c>
    </row>
    <row r="406" spans="1:22">
      <c r="A406" s="1">
        <v>1705</v>
      </c>
      <c r="B406" s="14" t="s">
        <v>26</v>
      </c>
      <c r="C406" s="15">
        <v>45</v>
      </c>
      <c r="D406" s="15" t="s">
        <v>23</v>
      </c>
      <c r="E406" s="16" t="s">
        <v>24</v>
      </c>
      <c r="F406" s="16" t="s">
        <v>25</v>
      </c>
      <c r="G406" s="16" t="s">
        <v>25</v>
      </c>
      <c r="H406" s="16">
        <v>8.45</v>
      </c>
      <c r="I406" s="16">
        <v>28.09</v>
      </c>
      <c r="J406" s="16">
        <v>9.9</v>
      </c>
      <c r="K406" s="16">
        <v>1.36</v>
      </c>
      <c r="L406" s="16">
        <v>86</v>
      </c>
      <c r="M406" s="17">
        <f t="shared" si="18"/>
        <v>9.82558139534884</v>
      </c>
      <c r="N406" s="17">
        <f t="shared" si="19"/>
        <v>0.853535353535353</v>
      </c>
      <c r="O406" s="16">
        <f t="shared" si="20"/>
        <v>6.21323529411765</v>
      </c>
      <c r="P406" s="16">
        <v>14</v>
      </c>
      <c r="Q406" s="16">
        <v>4.05</v>
      </c>
      <c r="R406" s="16">
        <v>2.58</v>
      </c>
      <c r="S406" s="16">
        <v>10.2</v>
      </c>
      <c r="T406" s="16">
        <v>190</v>
      </c>
      <c r="U406" s="25">
        <v>53</v>
      </c>
      <c r="V406" s="15">
        <v>0</v>
      </c>
    </row>
    <row r="407" spans="1:22">
      <c r="A407" s="1">
        <v>1706</v>
      </c>
      <c r="B407" s="14" t="s">
        <v>26</v>
      </c>
      <c r="C407" s="15">
        <v>45</v>
      </c>
      <c r="D407" s="15" t="s">
        <v>27</v>
      </c>
      <c r="E407" s="16" t="s">
        <v>24</v>
      </c>
      <c r="F407" s="16" t="s">
        <v>25</v>
      </c>
      <c r="G407" s="16" t="s">
        <v>25</v>
      </c>
      <c r="H407" s="16">
        <v>10.19</v>
      </c>
      <c r="I407" s="16">
        <v>31.78</v>
      </c>
      <c r="J407" s="16">
        <v>4.96</v>
      </c>
      <c r="K407" s="16">
        <v>1.14</v>
      </c>
      <c r="M407" s="17" t="e">
        <f t="shared" si="18"/>
        <v>#DIV/0!</v>
      </c>
      <c r="N407" s="17">
        <f t="shared" si="19"/>
        <v>2.05443548387097</v>
      </c>
      <c r="O407" s="16">
        <f t="shared" si="20"/>
        <v>8.93859649122807</v>
      </c>
      <c r="P407" s="16">
        <v>13</v>
      </c>
      <c r="Q407" s="16">
        <v>3.61</v>
      </c>
      <c r="R407" s="16">
        <v>2.19</v>
      </c>
      <c r="T407" s="16">
        <v>195</v>
      </c>
      <c r="U407" s="25">
        <v>34</v>
      </c>
      <c r="V407" s="15">
        <v>0</v>
      </c>
    </row>
    <row r="408" spans="1:22">
      <c r="A408" s="1">
        <v>1708</v>
      </c>
      <c r="B408" s="14" t="s">
        <v>22</v>
      </c>
      <c r="C408" s="15">
        <v>82</v>
      </c>
      <c r="D408" s="22" t="s">
        <v>28</v>
      </c>
      <c r="E408" s="16" t="s">
        <v>24</v>
      </c>
      <c r="F408" s="16" t="s">
        <v>25</v>
      </c>
      <c r="G408" s="16" t="s">
        <v>25</v>
      </c>
      <c r="H408" s="16">
        <v>9.91</v>
      </c>
      <c r="I408" s="16">
        <v>15.6</v>
      </c>
      <c r="J408" s="16">
        <v>9.5</v>
      </c>
      <c r="K408" s="16">
        <v>1.85</v>
      </c>
      <c r="M408" s="17" t="e">
        <f t="shared" si="18"/>
        <v>#DIV/0!</v>
      </c>
      <c r="N408" s="17">
        <f t="shared" si="19"/>
        <v>1.04315789473684</v>
      </c>
      <c r="O408" s="16">
        <f t="shared" si="20"/>
        <v>5.35675675675676</v>
      </c>
      <c r="P408" s="16">
        <v>13.4</v>
      </c>
      <c r="Q408" s="16">
        <v>5.3</v>
      </c>
      <c r="R408" s="16">
        <v>0.71</v>
      </c>
      <c r="T408" s="16">
        <v>291</v>
      </c>
      <c r="U408" s="25">
        <v>28</v>
      </c>
      <c r="V408" s="15">
        <v>0</v>
      </c>
    </row>
    <row r="409" spans="1:22">
      <c r="A409" s="1">
        <v>1709</v>
      </c>
      <c r="B409" s="14" t="s">
        <v>26</v>
      </c>
      <c r="C409" s="15">
        <v>91</v>
      </c>
      <c r="D409" s="15" t="s">
        <v>23</v>
      </c>
      <c r="E409" s="16" t="s">
        <v>24</v>
      </c>
      <c r="F409" s="16" t="s">
        <v>31</v>
      </c>
      <c r="G409" s="16" t="s">
        <v>33</v>
      </c>
      <c r="H409" s="16">
        <v>26.72</v>
      </c>
      <c r="I409" s="16">
        <v>13.57</v>
      </c>
      <c r="J409" s="16">
        <v>7.95</v>
      </c>
      <c r="K409" s="16">
        <v>3.21</v>
      </c>
      <c r="L409" s="16">
        <v>73</v>
      </c>
      <c r="M409" s="17">
        <f t="shared" si="18"/>
        <v>36.6027397260274</v>
      </c>
      <c r="N409" s="17">
        <f t="shared" si="19"/>
        <v>3.36100628930818</v>
      </c>
      <c r="O409" s="16">
        <f t="shared" si="20"/>
        <v>8.32398753894081</v>
      </c>
      <c r="P409" s="16">
        <v>14.3</v>
      </c>
      <c r="Q409" s="16">
        <v>3.67</v>
      </c>
      <c r="R409" s="16">
        <v>18.54</v>
      </c>
      <c r="S409" s="16">
        <v>90.73</v>
      </c>
      <c r="T409" s="16">
        <v>191</v>
      </c>
      <c r="U409" s="25">
        <v>28</v>
      </c>
      <c r="V409" s="15">
        <v>0</v>
      </c>
    </row>
    <row r="410" spans="1:22">
      <c r="A410" s="1">
        <v>1710</v>
      </c>
      <c r="B410" s="14" t="s">
        <v>26</v>
      </c>
      <c r="C410" s="15">
        <v>91</v>
      </c>
      <c r="D410" s="15" t="s">
        <v>23</v>
      </c>
      <c r="E410" s="16" t="s">
        <v>24</v>
      </c>
      <c r="F410" s="16" t="s">
        <v>25</v>
      </c>
      <c r="G410" s="16" t="s">
        <v>25</v>
      </c>
      <c r="H410" s="16">
        <v>6.9</v>
      </c>
      <c r="I410" s="16">
        <v>17.46</v>
      </c>
      <c r="J410" s="16">
        <v>9.5</v>
      </c>
      <c r="K410" s="16">
        <v>1.66</v>
      </c>
      <c r="L410" s="16">
        <v>77</v>
      </c>
      <c r="M410" s="17">
        <f t="shared" si="18"/>
        <v>8.96103896103896</v>
      </c>
      <c r="N410" s="17">
        <f t="shared" si="19"/>
        <v>0.726315789473684</v>
      </c>
      <c r="O410" s="16">
        <f t="shared" si="20"/>
        <v>4.1566265060241</v>
      </c>
      <c r="P410" s="16">
        <v>13.7</v>
      </c>
      <c r="Q410" s="16">
        <v>2.45</v>
      </c>
      <c r="R410" s="16">
        <v>2.51</v>
      </c>
      <c r="S410" s="16">
        <v>9.95</v>
      </c>
      <c r="T410" s="16">
        <v>205</v>
      </c>
      <c r="U410" s="25">
        <v>28</v>
      </c>
      <c r="V410" s="15">
        <v>0</v>
      </c>
    </row>
    <row r="411" spans="1:22">
      <c r="A411" s="1">
        <v>1711</v>
      </c>
      <c r="B411" s="14" t="s">
        <v>26</v>
      </c>
      <c r="C411" s="15">
        <v>75</v>
      </c>
      <c r="D411" s="15" t="s">
        <v>23</v>
      </c>
      <c r="E411" s="16" t="s">
        <v>24</v>
      </c>
      <c r="F411" s="16" t="s">
        <v>25</v>
      </c>
      <c r="G411" s="16" t="s">
        <v>25</v>
      </c>
      <c r="H411" s="16">
        <v>1.25</v>
      </c>
      <c r="I411" s="16">
        <v>12.83</v>
      </c>
      <c r="J411" s="16">
        <v>4.26</v>
      </c>
      <c r="K411" s="16">
        <v>0.73</v>
      </c>
      <c r="L411" s="16">
        <v>71</v>
      </c>
      <c r="M411" s="17">
        <f t="shared" si="18"/>
        <v>1.76056338028169</v>
      </c>
      <c r="N411" s="17">
        <f t="shared" si="19"/>
        <v>0.293427230046948</v>
      </c>
      <c r="O411" s="16">
        <f t="shared" si="20"/>
        <v>1.71232876712329</v>
      </c>
      <c r="P411" s="16">
        <v>21.5</v>
      </c>
      <c r="Q411" s="16">
        <v>1.74</v>
      </c>
      <c r="R411" s="16">
        <v>0.87</v>
      </c>
      <c r="S411" s="16">
        <v>2.49</v>
      </c>
      <c r="T411" s="16">
        <v>140</v>
      </c>
      <c r="U411" s="25">
        <v>12</v>
      </c>
      <c r="V411" s="15">
        <v>0</v>
      </c>
    </row>
    <row r="412" spans="1:22">
      <c r="A412" s="1">
        <v>1713</v>
      </c>
      <c r="B412" s="14" t="s">
        <v>26</v>
      </c>
      <c r="C412" s="15">
        <v>46</v>
      </c>
      <c r="D412" s="15" t="s">
        <v>23</v>
      </c>
      <c r="E412" s="16" t="s">
        <v>24</v>
      </c>
      <c r="F412" s="16" t="s">
        <v>25</v>
      </c>
      <c r="G412" s="16" t="s">
        <v>25</v>
      </c>
      <c r="H412" s="16">
        <v>4.08</v>
      </c>
      <c r="I412" s="16">
        <v>41.38</v>
      </c>
      <c r="J412" s="16">
        <v>7.14</v>
      </c>
      <c r="K412" s="16">
        <v>0.39</v>
      </c>
      <c r="M412" s="17" t="e">
        <f t="shared" si="18"/>
        <v>#DIV/0!</v>
      </c>
      <c r="N412" s="17">
        <f t="shared" si="19"/>
        <v>0.571428571428572</v>
      </c>
      <c r="O412" s="16">
        <f t="shared" si="20"/>
        <v>10.4615384615385</v>
      </c>
      <c r="P412" s="16">
        <v>18.8</v>
      </c>
      <c r="Q412" s="16">
        <v>3.79</v>
      </c>
      <c r="R412" s="16">
        <v>11.99</v>
      </c>
      <c r="T412" s="16">
        <v>158</v>
      </c>
      <c r="U412" s="25">
        <v>71</v>
      </c>
      <c r="V412" s="15">
        <v>0</v>
      </c>
    </row>
    <row r="413" spans="1:22">
      <c r="A413" s="1">
        <v>1714</v>
      </c>
      <c r="B413" s="14" t="s">
        <v>26</v>
      </c>
      <c r="C413" s="15">
        <v>59</v>
      </c>
      <c r="D413" s="15" t="s">
        <v>23</v>
      </c>
      <c r="E413" s="16" t="s">
        <v>24</v>
      </c>
      <c r="F413" s="16" t="s">
        <v>25</v>
      </c>
      <c r="G413" s="16" t="s">
        <v>25</v>
      </c>
      <c r="H413" s="16">
        <v>0.9</v>
      </c>
      <c r="I413" s="16">
        <v>13.52</v>
      </c>
      <c r="J413" s="16">
        <v>4.51</v>
      </c>
      <c r="K413" s="16">
        <v>1.03</v>
      </c>
      <c r="M413" s="17" t="e">
        <f t="shared" si="18"/>
        <v>#DIV/0!</v>
      </c>
      <c r="N413" s="17">
        <f t="shared" si="19"/>
        <v>0.199556541019956</v>
      </c>
      <c r="O413" s="16">
        <f t="shared" si="20"/>
        <v>0.87378640776699</v>
      </c>
      <c r="P413" s="16">
        <v>18</v>
      </c>
      <c r="Q413" s="16">
        <v>4.35</v>
      </c>
      <c r="R413" s="16">
        <v>0.51</v>
      </c>
      <c r="S413" s="16">
        <v>2.66</v>
      </c>
      <c r="T413" s="16">
        <v>211</v>
      </c>
      <c r="U413" s="25">
        <v>25</v>
      </c>
      <c r="V413" s="15">
        <v>0</v>
      </c>
    </row>
    <row r="414" spans="1:22">
      <c r="A414" s="1">
        <v>1715</v>
      </c>
      <c r="B414" s="14" t="s">
        <v>26</v>
      </c>
      <c r="C414" s="15">
        <v>59</v>
      </c>
      <c r="D414" s="15" t="s">
        <v>23</v>
      </c>
      <c r="E414" s="16" t="s">
        <v>24</v>
      </c>
      <c r="F414" s="16" t="s">
        <v>25</v>
      </c>
      <c r="G414" s="16" t="s">
        <v>25</v>
      </c>
      <c r="H414" s="16">
        <v>1.96</v>
      </c>
      <c r="I414" s="16">
        <v>13.1</v>
      </c>
      <c r="J414" s="16">
        <v>4.17</v>
      </c>
      <c r="K414" s="16">
        <v>1.86</v>
      </c>
      <c r="M414" s="17" t="e">
        <f t="shared" si="18"/>
        <v>#DIV/0!</v>
      </c>
      <c r="N414" s="17">
        <f t="shared" si="19"/>
        <v>0.470023980815348</v>
      </c>
      <c r="O414" s="16">
        <f t="shared" si="20"/>
        <v>1.05376344086022</v>
      </c>
      <c r="P414" s="16">
        <v>13</v>
      </c>
      <c r="Q414" s="16">
        <v>4.39</v>
      </c>
      <c r="R414" s="16">
        <v>0.73</v>
      </c>
      <c r="S414" s="16">
        <v>3.79</v>
      </c>
      <c r="T414" s="16">
        <v>280</v>
      </c>
      <c r="U414" s="25">
        <v>25</v>
      </c>
      <c r="V414" s="15">
        <v>0</v>
      </c>
    </row>
    <row r="415" spans="1:22">
      <c r="A415" s="1">
        <v>1718</v>
      </c>
      <c r="B415" s="14" t="s">
        <v>26</v>
      </c>
      <c r="C415" s="15">
        <v>78</v>
      </c>
      <c r="D415" s="15" t="s">
        <v>23</v>
      </c>
      <c r="E415" s="16" t="s">
        <v>24</v>
      </c>
      <c r="F415" s="16" t="s">
        <v>25</v>
      </c>
      <c r="G415" s="16" t="s">
        <v>25</v>
      </c>
      <c r="H415" s="16">
        <v>7.93</v>
      </c>
      <c r="I415" s="16">
        <v>28.25</v>
      </c>
      <c r="J415" s="16">
        <v>19.46</v>
      </c>
      <c r="K415" s="16">
        <v>2.05</v>
      </c>
      <c r="L415" s="16">
        <v>71</v>
      </c>
      <c r="M415" s="17">
        <f t="shared" si="18"/>
        <v>11.169014084507</v>
      </c>
      <c r="N415" s="17">
        <f t="shared" si="19"/>
        <v>0.407502569373073</v>
      </c>
      <c r="O415" s="16">
        <f t="shared" si="20"/>
        <v>3.86829268292683</v>
      </c>
      <c r="P415" s="16">
        <v>14.8</v>
      </c>
      <c r="Q415" s="16">
        <v>3.21</v>
      </c>
      <c r="R415" s="16">
        <v>5.34</v>
      </c>
      <c r="S415" s="16">
        <v>18.08</v>
      </c>
      <c r="T415" s="16">
        <v>137</v>
      </c>
      <c r="U415" s="25">
        <v>91</v>
      </c>
      <c r="V415" s="15">
        <v>0</v>
      </c>
    </row>
    <row r="416" spans="1:22">
      <c r="A416" s="1">
        <v>1719</v>
      </c>
      <c r="B416" s="14" t="s">
        <v>26</v>
      </c>
      <c r="C416" s="15">
        <v>78</v>
      </c>
      <c r="D416" s="15" t="s">
        <v>23</v>
      </c>
      <c r="E416" s="16" t="s">
        <v>24</v>
      </c>
      <c r="F416" s="16" t="s">
        <v>25</v>
      </c>
      <c r="G416" s="16" t="s">
        <v>25</v>
      </c>
      <c r="H416" s="16">
        <v>5.83</v>
      </c>
      <c r="I416" s="16">
        <v>23.57</v>
      </c>
      <c r="J416" s="16">
        <v>31.38</v>
      </c>
      <c r="K416" s="16">
        <v>1.25</v>
      </c>
      <c r="L416" s="16">
        <v>55</v>
      </c>
      <c r="M416" s="17">
        <f t="shared" si="18"/>
        <v>10.6</v>
      </c>
      <c r="N416" s="17">
        <f t="shared" si="19"/>
        <v>0.18578712555768</v>
      </c>
      <c r="O416" s="16">
        <f t="shared" si="20"/>
        <v>4.664</v>
      </c>
      <c r="P416" s="16">
        <v>16.2</v>
      </c>
      <c r="Q416" s="16">
        <v>3.39</v>
      </c>
      <c r="R416" s="16">
        <v>3.37</v>
      </c>
      <c r="S416" s="16">
        <v>14.78</v>
      </c>
      <c r="T416" s="16">
        <v>216</v>
      </c>
      <c r="U416" s="25">
        <v>91</v>
      </c>
      <c r="V416" s="15">
        <v>0</v>
      </c>
    </row>
    <row r="417" spans="1:22">
      <c r="A417" s="1">
        <v>1720</v>
      </c>
      <c r="B417" s="14" t="s">
        <v>26</v>
      </c>
      <c r="C417" s="15">
        <v>78</v>
      </c>
      <c r="D417" s="15" t="s">
        <v>23</v>
      </c>
      <c r="E417" s="16" t="s">
        <v>24</v>
      </c>
      <c r="F417" s="16" t="s">
        <v>25</v>
      </c>
      <c r="G417" s="16" t="s">
        <v>25</v>
      </c>
      <c r="H417" s="16">
        <v>37.42</v>
      </c>
      <c r="I417" s="16">
        <v>21.97</v>
      </c>
      <c r="J417" s="16">
        <v>31.71</v>
      </c>
      <c r="K417" s="16">
        <v>1.08</v>
      </c>
      <c r="M417" s="17" t="e">
        <f t="shared" si="18"/>
        <v>#DIV/0!</v>
      </c>
      <c r="N417" s="17">
        <f t="shared" si="19"/>
        <v>1.18006937874488</v>
      </c>
      <c r="O417" s="16">
        <f t="shared" si="20"/>
        <v>34.6481481481481</v>
      </c>
      <c r="P417" s="16">
        <v>12.6</v>
      </c>
      <c r="Q417" s="16">
        <v>2.97</v>
      </c>
      <c r="R417" s="16">
        <v>1</v>
      </c>
      <c r="T417" s="16">
        <v>260</v>
      </c>
      <c r="U417" s="25">
        <v>91</v>
      </c>
      <c r="V417" s="15">
        <v>0</v>
      </c>
    </row>
    <row r="418" spans="1:22">
      <c r="A418" s="1">
        <v>1722</v>
      </c>
      <c r="B418" s="14" t="s">
        <v>26</v>
      </c>
      <c r="C418" s="15">
        <v>78</v>
      </c>
      <c r="D418" s="15" t="s">
        <v>23</v>
      </c>
      <c r="E418" s="16" t="s">
        <v>24</v>
      </c>
      <c r="F418" s="16" t="s">
        <v>25</v>
      </c>
      <c r="G418" s="16" t="s">
        <v>25</v>
      </c>
      <c r="H418" s="16">
        <v>2.18</v>
      </c>
      <c r="I418" s="16">
        <v>31.96</v>
      </c>
      <c r="J418" s="16">
        <v>22.84</v>
      </c>
      <c r="K418" s="16">
        <v>1.82</v>
      </c>
      <c r="M418" s="17" t="e">
        <f t="shared" si="18"/>
        <v>#DIV/0!</v>
      </c>
      <c r="N418" s="17">
        <f t="shared" si="19"/>
        <v>0.095446584938704</v>
      </c>
      <c r="O418" s="16">
        <f t="shared" si="20"/>
        <v>1.1978021978022</v>
      </c>
      <c r="P418" s="16">
        <v>14.2</v>
      </c>
      <c r="Q418" s="16">
        <v>4.09</v>
      </c>
      <c r="R418" s="16">
        <v>1.17</v>
      </c>
      <c r="T418" s="16">
        <v>237</v>
      </c>
      <c r="U418" s="25">
        <v>91</v>
      </c>
      <c r="V418" s="15">
        <v>0</v>
      </c>
    </row>
    <row r="419" spans="1:22">
      <c r="A419" s="1">
        <v>1724</v>
      </c>
      <c r="B419" s="14" t="s">
        <v>26</v>
      </c>
      <c r="C419" s="15">
        <v>54</v>
      </c>
      <c r="D419" s="15" t="s">
        <v>27</v>
      </c>
      <c r="E419" s="16" t="s">
        <v>29</v>
      </c>
      <c r="F419" s="16" t="s">
        <v>29</v>
      </c>
      <c r="G419" s="16" t="s">
        <v>29</v>
      </c>
      <c r="H419" s="16">
        <v>63.73</v>
      </c>
      <c r="I419" s="16">
        <v>13.82</v>
      </c>
      <c r="J419" s="16">
        <v>10.74</v>
      </c>
      <c r="K419" s="16">
        <v>2.6</v>
      </c>
      <c r="L419" s="16">
        <v>62</v>
      </c>
      <c r="M419" s="17">
        <f t="shared" si="18"/>
        <v>102.790322580645</v>
      </c>
      <c r="N419" s="17">
        <f t="shared" si="19"/>
        <v>5.93389199255121</v>
      </c>
      <c r="O419" s="16">
        <f t="shared" si="20"/>
        <v>24.5115384615385</v>
      </c>
      <c r="P419" s="16">
        <v>16.2</v>
      </c>
      <c r="Q419" s="16">
        <v>2.21</v>
      </c>
      <c r="R419" s="16">
        <v>8.13</v>
      </c>
      <c r="S419" s="16">
        <v>25.42</v>
      </c>
      <c r="T419" s="16">
        <v>24</v>
      </c>
      <c r="U419" s="25">
        <v>6</v>
      </c>
      <c r="V419" s="15">
        <v>1</v>
      </c>
    </row>
    <row r="420" spans="1:22">
      <c r="A420" s="1">
        <v>1725</v>
      </c>
      <c r="B420" s="14" t="s">
        <v>26</v>
      </c>
      <c r="C420" s="15">
        <v>54</v>
      </c>
      <c r="D420" s="15" t="s">
        <v>27</v>
      </c>
      <c r="E420" s="16" t="s">
        <v>29</v>
      </c>
      <c r="F420" s="16" t="s">
        <v>29</v>
      </c>
      <c r="G420" s="16" t="s">
        <v>29</v>
      </c>
      <c r="H420" s="16">
        <v>72.58</v>
      </c>
      <c r="I420" s="16">
        <v>11.77</v>
      </c>
      <c r="J420" s="16">
        <v>13.96</v>
      </c>
      <c r="K420" s="16">
        <v>7.56</v>
      </c>
      <c r="L420" s="16">
        <v>84</v>
      </c>
      <c r="M420" s="17">
        <f t="shared" si="18"/>
        <v>86.4047619047619</v>
      </c>
      <c r="N420" s="17">
        <f t="shared" si="19"/>
        <v>5.19914040114613</v>
      </c>
      <c r="O420" s="16">
        <f t="shared" si="20"/>
        <v>9.6005291005291</v>
      </c>
      <c r="P420" s="16">
        <v>13.2</v>
      </c>
      <c r="Q420" s="16">
        <v>1.93</v>
      </c>
      <c r="R420" s="16">
        <v>3.48</v>
      </c>
      <c r="T420" s="16">
        <v>21</v>
      </c>
      <c r="U420" s="25">
        <v>6</v>
      </c>
      <c r="V420" s="15">
        <v>1</v>
      </c>
    </row>
    <row r="421" spans="1:22">
      <c r="A421" s="1">
        <v>1726</v>
      </c>
      <c r="B421" s="14" t="s">
        <v>26</v>
      </c>
      <c r="C421" s="15">
        <v>54</v>
      </c>
      <c r="D421" s="15" t="s">
        <v>27</v>
      </c>
      <c r="E421" s="16" t="s">
        <v>29</v>
      </c>
      <c r="F421" s="16" t="s">
        <v>29</v>
      </c>
      <c r="G421" s="16" t="s">
        <v>29</v>
      </c>
      <c r="H421" s="16">
        <v>42.53</v>
      </c>
      <c r="I421" s="16">
        <v>9.3</v>
      </c>
      <c r="J421" s="16">
        <v>8.04</v>
      </c>
      <c r="K421" s="16">
        <v>2.53</v>
      </c>
      <c r="L421" s="16">
        <v>80</v>
      </c>
      <c r="M421" s="17">
        <f t="shared" si="18"/>
        <v>53.1625</v>
      </c>
      <c r="N421" s="17">
        <f t="shared" si="19"/>
        <v>5.28980099502488</v>
      </c>
      <c r="O421" s="16">
        <f t="shared" si="20"/>
        <v>16.8102766798419</v>
      </c>
      <c r="P421" s="16">
        <v>15.4</v>
      </c>
      <c r="Q421" s="16">
        <v>2.84</v>
      </c>
      <c r="R421" s="16">
        <v>13.44</v>
      </c>
      <c r="S421" s="16">
        <v>54.37</v>
      </c>
      <c r="T421" s="16">
        <v>26</v>
      </c>
      <c r="U421" s="25">
        <v>6</v>
      </c>
      <c r="V421" s="15">
        <v>0</v>
      </c>
    </row>
    <row r="422" spans="1:22">
      <c r="A422" s="1">
        <v>1727</v>
      </c>
      <c r="B422" s="14" t="s">
        <v>22</v>
      </c>
      <c r="C422" s="15">
        <v>66</v>
      </c>
      <c r="D422" s="15" t="s">
        <v>23</v>
      </c>
      <c r="E422" s="16" t="s">
        <v>24</v>
      </c>
      <c r="F422" s="16" t="s">
        <v>25</v>
      </c>
      <c r="G422" s="16" t="s">
        <v>25</v>
      </c>
      <c r="H422" s="16">
        <v>9.53</v>
      </c>
      <c r="I422" s="16">
        <v>19.49</v>
      </c>
      <c r="J422" s="16">
        <v>41.54</v>
      </c>
      <c r="K422" s="16">
        <v>0.98</v>
      </c>
      <c r="L422" s="16">
        <v>76</v>
      </c>
      <c r="M422" s="17">
        <f t="shared" si="18"/>
        <v>12.5394736842105</v>
      </c>
      <c r="N422" s="17">
        <f t="shared" si="19"/>
        <v>0.229417428984112</v>
      </c>
      <c r="O422" s="16">
        <f t="shared" si="20"/>
        <v>9.72448979591837</v>
      </c>
      <c r="P422" s="16">
        <v>14.9</v>
      </c>
      <c r="Q422" s="16">
        <v>3.41</v>
      </c>
      <c r="R422" s="16">
        <v>4.35</v>
      </c>
      <c r="S422" s="16">
        <v>12.36</v>
      </c>
      <c r="T422" s="16">
        <v>69</v>
      </c>
      <c r="U422" s="25">
        <v>45</v>
      </c>
      <c r="V422" s="15">
        <v>0</v>
      </c>
    </row>
    <row r="423" spans="1:22">
      <c r="A423" s="1">
        <v>1729</v>
      </c>
      <c r="B423" s="14" t="s">
        <v>22</v>
      </c>
      <c r="C423" s="15">
        <v>66</v>
      </c>
      <c r="D423" s="15" t="s">
        <v>23</v>
      </c>
      <c r="E423" s="16" t="s">
        <v>24</v>
      </c>
      <c r="F423" s="16" t="s">
        <v>25</v>
      </c>
      <c r="G423" s="16" t="s">
        <v>25</v>
      </c>
      <c r="H423" s="16">
        <v>7.91</v>
      </c>
      <c r="I423" s="16">
        <v>19.08</v>
      </c>
      <c r="J423" s="16">
        <v>10.94</v>
      </c>
      <c r="K423" s="16">
        <v>2.41</v>
      </c>
      <c r="L423" s="16">
        <v>84</v>
      </c>
      <c r="M423" s="17">
        <f t="shared" si="18"/>
        <v>9.41666666666667</v>
      </c>
      <c r="N423" s="17">
        <f t="shared" si="19"/>
        <v>0.723034734917733</v>
      </c>
      <c r="O423" s="16">
        <f t="shared" si="20"/>
        <v>3.28215767634855</v>
      </c>
      <c r="P423" s="16">
        <v>14.6</v>
      </c>
      <c r="Q423" s="16">
        <v>7.94</v>
      </c>
      <c r="R423" s="16">
        <v>4.35</v>
      </c>
      <c r="S423" s="16">
        <v>14.33</v>
      </c>
      <c r="T423" s="16">
        <v>251</v>
      </c>
      <c r="U423" s="25">
        <v>45</v>
      </c>
      <c r="V423" s="15">
        <v>0</v>
      </c>
    </row>
    <row r="424" spans="1:22">
      <c r="A424" s="1">
        <v>1730</v>
      </c>
      <c r="B424" s="14" t="s">
        <v>26</v>
      </c>
      <c r="C424" s="15">
        <v>94</v>
      </c>
      <c r="D424" s="15" t="s">
        <v>27</v>
      </c>
      <c r="E424" s="16" t="s">
        <v>24</v>
      </c>
      <c r="F424" s="16" t="s">
        <v>31</v>
      </c>
      <c r="G424" s="16" t="s">
        <v>32</v>
      </c>
      <c r="H424" s="16">
        <v>45.92</v>
      </c>
      <c r="I424" s="16">
        <v>32.09</v>
      </c>
      <c r="J424" s="16">
        <v>13.21</v>
      </c>
      <c r="K424" s="16">
        <v>0.29</v>
      </c>
      <c r="M424" s="17" t="e">
        <f t="shared" si="18"/>
        <v>#DIV/0!</v>
      </c>
      <c r="N424" s="17">
        <f t="shared" si="19"/>
        <v>3.47615442846329</v>
      </c>
      <c r="O424" s="16">
        <f t="shared" si="20"/>
        <v>158.344827586207</v>
      </c>
      <c r="P424" s="16">
        <v>16.3</v>
      </c>
      <c r="Q424" s="16">
        <v>1.39</v>
      </c>
      <c r="R424" s="16">
        <v>1.85</v>
      </c>
      <c r="T424" s="16">
        <v>21</v>
      </c>
      <c r="U424" s="25">
        <v>49</v>
      </c>
      <c r="V424" s="15">
        <v>1</v>
      </c>
    </row>
    <row r="425" spans="1:22">
      <c r="A425" s="1">
        <v>1732</v>
      </c>
      <c r="B425" s="14" t="s">
        <v>26</v>
      </c>
      <c r="C425" s="15">
        <v>61</v>
      </c>
      <c r="D425" s="15" t="s">
        <v>27</v>
      </c>
      <c r="E425" s="16" t="s">
        <v>24</v>
      </c>
      <c r="F425" s="16" t="s">
        <v>31</v>
      </c>
      <c r="G425" s="16" t="s">
        <v>32</v>
      </c>
      <c r="H425" s="16">
        <v>19.43</v>
      </c>
      <c r="I425" s="16">
        <v>17.41</v>
      </c>
      <c r="J425" s="16">
        <v>32.65</v>
      </c>
      <c r="K425" s="16">
        <v>1.1</v>
      </c>
      <c r="L425" s="16">
        <v>57</v>
      </c>
      <c r="M425" s="17">
        <f t="shared" si="18"/>
        <v>34.0877192982456</v>
      </c>
      <c r="N425" s="17">
        <f t="shared" si="19"/>
        <v>0.59509954058193</v>
      </c>
      <c r="O425" s="16">
        <f t="shared" si="20"/>
        <v>17.6636363636364</v>
      </c>
      <c r="P425" s="16">
        <v>16.7</v>
      </c>
      <c r="Q425" s="16">
        <v>5.55</v>
      </c>
      <c r="R425" s="16">
        <v>2.64</v>
      </c>
      <c r="S425" s="16">
        <v>11.24</v>
      </c>
      <c r="T425" s="16">
        <v>109</v>
      </c>
      <c r="U425" s="25">
        <v>13</v>
      </c>
      <c r="V425" s="15">
        <v>1</v>
      </c>
    </row>
    <row r="426" spans="1:22">
      <c r="A426" s="1">
        <v>1733</v>
      </c>
      <c r="B426" s="14" t="s">
        <v>26</v>
      </c>
      <c r="C426" s="15">
        <v>61</v>
      </c>
      <c r="D426" s="15" t="s">
        <v>27</v>
      </c>
      <c r="E426" s="16" t="s">
        <v>24</v>
      </c>
      <c r="F426" s="16" t="s">
        <v>31</v>
      </c>
      <c r="G426" s="16" t="s">
        <v>32</v>
      </c>
      <c r="H426" s="16">
        <v>23.1</v>
      </c>
      <c r="I426" s="16">
        <v>16.4</v>
      </c>
      <c r="J426" s="16">
        <v>23.81</v>
      </c>
      <c r="K426" s="16">
        <v>1.36</v>
      </c>
      <c r="L426" s="16">
        <v>57</v>
      </c>
      <c r="M426" s="17">
        <f t="shared" si="18"/>
        <v>40.5263157894737</v>
      </c>
      <c r="N426" s="17">
        <f t="shared" si="19"/>
        <v>0.970180596388072</v>
      </c>
      <c r="O426" s="16">
        <f t="shared" si="20"/>
        <v>16.9852941176471</v>
      </c>
      <c r="P426" s="16">
        <v>15.8</v>
      </c>
      <c r="Q426" s="16">
        <v>6.39</v>
      </c>
      <c r="R426" s="16">
        <v>5.62</v>
      </c>
      <c r="S426" s="16">
        <v>20.58</v>
      </c>
      <c r="T426" s="16">
        <v>67</v>
      </c>
      <c r="U426" s="25">
        <v>13</v>
      </c>
      <c r="V426" s="15">
        <v>1</v>
      </c>
    </row>
    <row r="427" spans="1:22">
      <c r="A427" s="1">
        <v>1734</v>
      </c>
      <c r="B427" s="14" t="s">
        <v>26</v>
      </c>
      <c r="C427" s="15">
        <v>61</v>
      </c>
      <c r="D427" s="22" t="s">
        <v>28</v>
      </c>
      <c r="E427" s="16" t="s">
        <v>29</v>
      </c>
      <c r="F427" s="16" t="s">
        <v>29</v>
      </c>
      <c r="G427" s="16" t="s">
        <v>29</v>
      </c>
      <c r="H427" s="16">
        <v>22.07</v>
      </c>
      <c r="I427" s="16">
        <v>35.03</v>
      </c>
      <c r="J427" s="16">
        <v>12.24</v>
      </c>
      <c r="K427" s="16">
        <v>13.01</v>
      </c>
      <c r="L427" s="16">
        <v>70</v>
      </c>
      <c r="M427" s="17">
        <f t="shared" si="18"/>
        <v>31.5285714285714</v>
      </c>
      <c r="N427" s="17">
        <f t="shared" si="19"/>
        <v>1.8031045751634</v>
      </c>
      <c r="O427" s="16">
        <f t="shared" si="20"/>
        <v>1.69638739431207</v>
      </c>
      <c r="P427" s="16">
        <v>19</v>
      </c>
      <c r="Q427" s="16">
        <v>6.22</v>
      </c>
      <c r="R427" s="16">
        <v>20</v>
      </c>
      <c r="S427" s="16">
        <v>150</v>
      </c>
      <c r="T427" s="16">
        <v>76</v>
      </c>
      <c r="U427" s="25">
        <v>13</v>
      </c>
      <c r="V427" s="15">
        <v>1</v>
      </c>
    </row>
    <row r="428" spans="1:22">
      <c r="A428" s="1">
        <v>1737</v>
      </c>
      <c r="B428" s="14" t="s">
        <v>26</v>
      </c>
      <c r="C428" s="15">
        <v>42</v>
      </c>
      <c r="D428" s="22" t="s">
        <v>28</v>
      </c>
      <c r="E428" s="16" t="s">
        <v>24</v>
      </c>
      <c r="F428" s="16" t="s">
        <v>25</v>
      </c>
      <c r="G428" s="16" t="s">
        <v>25</v>
      </c>
      <c r="H428" s="16">
        <v>14.8</v>
      </c>
      <c r="I428" s="16">
        <v>25.15</v>
      </c>
      <c r="J428" s="16">
        <v>5.75</v>
      </c>
      <c r="K428" s="16">
        <v>17.77</v>
      </c>
      <c r="L428" s="16">
        <v>60</v>
      </c>
      <c r="M428" s="17">
        <f t="shared" si="18"/>
        <v>24.6666666666667</v>
      </c>
      <c r="N428" s="17">
        <f t="shared" si="19"/>
        <v>2.57391304347826</v>
      </c>
      <c r="O428" s="16">
        <f t="shared" si="20"/>
        <v>0.832864378165447</v>
      </c>
      <c r="P428" s="16">
        <v>14.7</v>
      </c>
      <c r="Q428" s="16">
        <v>2.81</v>
      </c>
      <c r="R428" s="16">
        <v>20</v>
      </c>
      <c r="S428" s="16">
        <v>92.74</v>
      </c>
      <c r="T428" s="16">
        <v>51</v>
      </c>
      <c r="U428" s="25">
        <v>17</v>
      </c>
      <c r="V428" s="15">
        <v>0</v>
      </c>
    </row>
    <row r="429" spans="1:22">
      <c r="A429" s="1">
        <v>1738</v>
      </c>
      <c r="B429" s="14" t="s">
        <v>26</v>
      </c>
      <c r="C429" s="15">
        <v>42</v>
      </c>
      <c r="D429" s="22" t="s">
        <v>28</v>
      </c>
      <c r="E429" s="16" t="s">
        <v>24</v>
      </c>
      <c r="F429" s="16" t="s">
        <v>25</v>
      </c>
      <c r="G429" s="16" t="s">
        <v>25</v>
      </c>
      <c r="H429" s="16">
        <v>9.96</v>
      </c>
      <c r="I429" s="16">
        <v>19.86</v>
      </c>
      <c r="J429" s="16">
        <v>6.35</v>
      </c>
      <c r="K429" s="16">
        <v>4.77</v>
      </c>
      <c r="L429" s="16">
        <v>60</v>
      </c>
      <c r="M429" s="17">
        <f t="shared" si="18"/>
        <v>16.6</v>
      </c>
      <c r="N429" s="17">
        <f t="shared" si="19"/>
        <v>1.56850393700787</v>
      </c>
      <c r="O429" s="16">
        <f t="shared" si="20"/>
        <v>2.08805031446541</v>
      </c>
      <c r="P429" s="16">
        <v>13.6</v>
      </c>
      <c r="Q429" s="16">
        <v>2.76</v>
      </c>
      <c r="R429" s="16">
        <v>19.75</v>
      </c>
      <c r="S429" s="16">
        <v>58.73</v>
      </c>
      <c r="T429" s="16">
        <v>82</v>
      </c>
      <c r="U429" s="25">
        <v>17</v>
      </c>
      <c r="V429" s="15">
        <v>0</v>
      </c>
    </row>
    <row r="430" spans="1:22">
      <c r="A430" s="1">
        <v>1739</v>
      </c>
      <c r="B430" s="14" t="s">
        <v>26</v>
      </c>
      <c r="C430" s="15">
        <v>69</v>
      </c>
      <c r="D430" s="15" t="s">
        <v>23</v>
      </c>
      <c r="E430" s="16" t="s">
        <v>24</v>
      </c>
      <c r="F430" s="16" t="s">
        <v>25</v>
      </c>
      <c r="G430" s="16" t="s">
        <v>25</v>
      </c>
      <c r="H430" s="16">
        <v>10.34</v>
      </c>
      <c r="I430" s="16">
        <v>23.42</v>
      </c>
      <c r="J430" s="16">
        <v>15.56</v>
      </c>
      <c r="K430" s="16">
        <v>0.26</v>
      </c>
      <c r="L430" s="16">
        <v>70</v>
      </c>
      <c r="M430" s="17">
        <f t="shared" si="18"/>
        <v>14.7714285714286</v>
      </c>
      <c r="N430" s="17">
        <f t="shared" si="19"/>
        <v>0.66452442159383</v>
      </c>
      <c r="O430" s="16">
        <f t="shared" si="20"/>
        <v>39.7692307692308</v>
      </c>
      <c r="P430" s="16">
        <v>12.7</v>
      </c>
      <c r="Q430" s="16">
        <v>2.46</v>
      </c>
      <c r="R430" s="16">
        <v>0.96</v>
      </c>
      <c r="T430" s="16">
        <v>87</v>
      </c>
      <c r="U430" s="25">
        <v>51</v>
      </c>
      <c r="V430" s="15">
        <v>0</v>
      </c>
    </row>
    <row r="431" spans="1:22">
      <c r="A431" s="1">
        <v>1746</v>
      </c>
      <c r="B431" s="14" t="s">
        <v>26</v>
      </c>
      <c r="C431" s="15">
        <v>73</v>
      </c>
      <c r="D431" s="15" t="s">
        <v>23</v>
      </c>
      <c r="E431" s="16" t="s">
        <v>24</v>
      </c>
      <c r="F431" s="16" t="s">
        <v>25</v>
      </c>
      <c r="G431" s="16" t="s">
        <v>25</v>
      </c>
      <c r="H431" s="16">
        <v>3.85</v>
      </c>
      <c r="I431" s="16">
        <v>19.39</v>
      </c>
      <c r="J431" s="16">
        <v>12.66</v>
      </c>
      <c r="K431" s="16">
        <v>0.49</v>
      </c>
      <c r="M431" s="17" t="e">
        <f t="shared" si="18"/>
        <v>#DIV/0!</v>
      </c>
      <c r="N431" s="17">
        <f t="shared" si="19"/>
        <v>0.304107424960506</v>
      </c>
      <c r="O431" s="16">
        <f t="shared" si="20"/>
        <v>7.85714285714286</v>
      </c>
      <c r="P431" s="16">
        <v>14.6</v>
      </c>
      <c r="Q431" s="16">
        <v>2.65</v>
      </c>
      <c r="R431" s="16">
        <v>1.12</v>
      </c>
      <c r="T431" s="16">
        <v>58</v>
      </c>
      <c r="U431" s="25">
        <v>55</v>
      </c>
      <c r="V431" s="15">
        <v>1</v>
      </c>
    </row>
    <row r="432" spans="1:22">
      <c r="A432" s="1">
        <v>1747</v>
      </c>
      <c r="B432" s="14" t="s">
        <v>22</v>
      </c>
      <c r="C432" s="15">
        <v>66</v>
      </c>
      <c r="D432" s="15" t="s">
        <v>27</v>
      </c>
      <c r="E432" s="16" t="s">
        <v>29</v>
      </c>
      <c r="F432" s="16" t="s">
        <v>29</v>
      </c>
      <c r="G432" s="16" t="s">
        <v>29</v>
      </c>
      <c r="H432" s="16">
        <v>11.53</v>
      </c>
      <c r="I432" s="16">
        <v>50.18</v>
      </c>
      <c r="J432" s="16">
        <v>10.27</v>
      </c>
      <c r="K432" s="16">
        <v>3.76</v>
      </c>
      <c r="L432" s="16">
        <v>79</v>
      </c>
      <c r="M432" s="17">
        <f t="shared" si="18"/>
        <v>14.5949367088608</v>
      </c>
      <c r="N432" s="17">
        <f t="shared" si="19"/>
        <v>1.12268743914314</v>
      </c>
      <c r="O432" s="16">
        <f t="shared" si="20"/>
        <v>3.06648936170213</v>
      </c>
      <c r="P432" s="16">
        <v>13.7</v>
      </c>
      <c r="Q432" s="16">
        <v>1.79</v>
      </c>
      <c r="R432" s="16">
        <v>6.68</v>
      </c>
      <c r="S432" s="16">
        <v>21.36</v>
      </c>
      <c r="T432" s="16">
        <v>29</v>
      </c>
      <c r="U432" s="25">
        <v>32</v>
      </c>
      <c r="V432" s="15">
        <v>0</v>
      </c>
    </row>
    <row r="433" spans="1:22">
      <c r="A433" s="1">
        <v>1748</v>
      </c>
      <c r="B433" s="14" t="s">
        <v>22</v>
      </c>
      <c r="C433" s="15">
        <v>66</v>
      </c>
      <c r="D433" s="15" t="s">
        <v>27</v>
      </c>
      <c r="E433" s="16" t="s">
        <v>29</v>
      </c>
      <c r="F433" s="16" t="s">
        <v>29</v>
      </c>
      <c r="G433" s="16" t="s">
        <v>29</v>
      </c>
      <c r="H433" s="16">
        <v>16.2</v>
      </c>
      <c r="I433" s="16">
        <v>36.65</v>
      </c>
      <c r="J433" s="16">
        <v>4.61</v>
      </c>
      <c r="K433" s="16">
        <v>6.26</v>
      </c>
      <c r="L433" s="16">
        <v>85</v>
      </c>
      <c r="M433" s="17">
        <f t="shared" si="18"/>
        <v>19.0588235294118</v>
      </c>
      <c r="N433" s="17">
        <f t="shared" si="19"/>
        <v>3.51409978308026</v>
      </c>
      <c r="O433" s="16">
        <f t="shared" si="20"/>
        <v>2.58785942492013</v>
      </c>
      <c r="P433" s="16">
        <v>11.7</v>
      </c>
      <c r="Q433" s="16">
        <v>1.58</v>
      </c>
      <c r="R433" s="16">
        <v>6.89</v>
      </c>
      <c r="S433" s="16">
        <v>34.3</v>
      </c>
      <c r="T433" s="16">
        <v>47</v>
      </c>
      <c r="U433" s="25">
        <v>32</v>
      </c>
      <c r="V433" s="15">
        <v>0</v>
      </c>
    </row>
    <row r="434" spans="1:22">
      <c r="A434" s="1">
        <v>1749</v>
      </c>
      <c r="B434" s="14" t="s">
        <v>22</v>
      </c>
      <c r="C434" s="15">
        <v>66</v>
      </c>
      <c r="D434" s="15" t="s">
        <v>27</v>
      </c>
      <c r="E434" s="16" t="s">
        <v>29</v>
      </c>
      <c r="F434" s="16" t="s">
        <v>29</v>
      </c>
      <c r="G434" s="16" t="s">
        <v>29</v>
      </c>
      <c r="H434" s="16">
        <v>11.85</v>
      </c>
      <c r="I434" s="16">
        <v>36.79</v>
      </c>
      <c r="J434" s="16">
        <v>5.79</v>
      </c>
      <c r="K434" s="16">
        <v>6.34</v>
      </c>
      <c r="M434" s="17" t="e">
        <f t="shared" si="18"/>
        <v>#DIV/0!</v>
      </c>
      <c r="N434" s="17">
        <f t="shared" si="19"/>
        <v>2.04663212435233</v>
      </c>
      <c r="O434" s="16">
        <f t="shared" si="20"/>
        <v>1.86908517350158</v>
      </c>
      <c r="P434" s="16">
        <v>11.3</v>
      </c>
      <c r="Q434" s="16">
        <v>2.06</v>
      </c>
      <c r="R434" s="16">
        <v>6.38</v>
      </c>
      <c r="S434" s="16">
        <v>30.35</v>
      </c>
      <c r="T434" s="16">
        <v>44</v>
      </c>
      <c r="U434" s="25">
        <v>32</v>
      </c>
      <c r="V434" s="15">
        <v>0</v>
      </c>
    </row>
    <row r="435" spans="1:22">
      <c r="A435" s="1">
        <v>1750</v>
      </c>
      <c r="B435" s="14" t="s">
        <v>22</v>
      </c>
      <c r="C435" s="15">
        <v>66</v>
      </c>
      <c r="D435" s="15" t="s">
        <v>23</v>
      </c>
      <c r="E435" s="16" t="s">
        <v>24</v>
      </c>
      <c r="F435" s="16" t="s">
        <v>25</v>
      </c>
      <c r="G435" s="16" t="s">
        <v>25</v>
      </c>
      <c r="H435" s="16">
        <v>15.79</v>
      </c>
      <c r="I435" s="16">
        <v>31.1</v>
      </c>
      <c r="J435" s="16">
        <v>14.6</v>
      </c>
      <c r="K435" s="16">
        <v>1.96</v>
      </c>
      <c r="M435" s="17" t="e">
        <f t="shared" si="18"/>
        <v>#DIV/0!</v>
      </c>
      <c r="N435" s="17">
        <f t="shared" si="19"/>
        <v>1.08150684931507</v>
      </c>
      <c r="O435" s="16">
        <f t="shared" si="20"/>
        <v>8.05612244897959</v>
      </c>
      <c r="P435" s="16">
        <v>12.4</v>
      </c>
      <c r="Q435" s="16">
        <v>2.57</v>
      </c>
      <c r="R435" s="16">
        <v>2.02</v>
      </c>
      <c r="T435" s="16">
        <v>28</v>
      </c>
      <c r="U435" s="25">
        <v>32</v>
      </c>
      <c r="V435" s="15">
        <v>0</v>
      </c>
    </row>
    <row r="436" spans="1:22">
      <c r="A436" s="1">
        <v>1751</v>
      </c>
      <c r="B436" s="14" t="s">
        <v>22</v>
      </c>
      <c r="C436" s="15">
        <v>66</v>
      </c>
      <c r="D436" s="15" t="s">
        <v>23</v>
      </c>
      <c r="E436" s="16" t="s">
        <v>24</v>
      </c>
      <c r="F436" s="16" t="s">
        <v>25</v>
      </c>
      <c r="G436" s="16" t="s">
        <v>25</v>
      </c>
      <c r="H436" s="16">
        <v>17.9</v>
      </c>
      <c r="I436" s="16">
        <v>39.78</v>
      </c>
      <c r="J436" s="16">
        <v>17.23</v>
      </c>
      <c r="K436" s="16">
        <v>4.46</v>
      </c>
      <c r="M436" s="17" t="e">
        <f t="shared" si="18"/>
        <v>#DIV/0!</v>
      </c>
      <c r="N436" s="17">
        <f t="shared" si="19"/>
        <v>1.0388856645386</v>
      </c>
      <c r="O436" s="16">
        <f t="shared" si="20"/>
        <v>4.01345291479821</v>
      </c>
      <c r="P436" s="16">
        <v>11</v>
      </c>
      <c r="Q436" s="16">
        <v>2.61</v>
      </c>
      <c r="R436" s="16">
        <v>2.12</v>
      </c>
      <c r="S436" s="16">
        <v>17.84</v>
      </c>
      <c r="T436" s="16">
        <v>15</v>
      </c>
      <c r="U436" s="25">
        <v>32</v>
      </c>
      <c r="V436" s="15">
        <v>0</v>
      </c>
    </row>
    <row r="437" spans="1:22">
      <c r="A437" s="1">
        <v>1752</v>
      </c>
      <c r="B437" s="14" t="s">
        <v>26</v>
      </c>
      <c r="C437" s="15">
        <v>76</v>
      </c>
      <c r="D437" s="15" t="s">
        <v>23</v>
      </c>
      <c r="E437" s="16" t="s">
        <v>24</v>
      </c>
      <c r="F437" s="16" t="s">
        <v>25</v>
      </c>
      <c r="G437" s="16" t="s">
        <v>25</v>
      </c>
      <c r="H437" s="16">
        <v>3.2</v>
      </c>
      <c r="I437" s="16">
        <v>10.49</v>
      </c>
      <c r="J437" s="16">
        <v>22.18</v>
      </c>
      <c r="K437" s="16">
        <v>1.32</v>
      </c>
      <c r="M437" s="17" t="e">
        <f t="shared" si="18"/>
        <v>#DIV/0!</v>
      </c>
      <c r="N437" s="17">
        <f t="shared" si="19"/>
        <v>0.144274120829576</v>
      </c>
      <c r="O437" s="16">
        <f t="shared" si="20"/>
        <v>2.42424242424242</v>
      </c>
      <c r="P437" s="16">
        <v>11.5</v>
      </c>
      <c r="Q437" s="16">
        <v>4.68</v>
      </c>
      <c r="R437" s="16">
        <v>0.83</v>
      </c>
      <c r="T437" s="16">
        <v>181</v>
      </c>
      <c r="U437" s="25">
        <v>61</v>
      </c>
      <c r="V437" s="15">
        <v>0</v>
      </c>
    </row>
    <row r="438" spans="1:22">
      <c r="A438" s="1">
        <v>1753</v>
      </c>
      <c r="B438" s="14" t="s">
        <v>26</v>
      </c>
      <c r="C438" s="15">
        <v>55</v>
      </c>
      <c r="D438" s="15" t="s">
        <v>23</v>
      </c>
      <c r="E438" s="16" t="s">
        <v>24</v>
      </c>
      <c r="F438" s="16" t="s">
        <v>25</v>
      </c>
      <c r="G438" s="16" t="s">
        <v>25</v>
      </c>
      <c r="H438" s="16">
        <v>0.4</v>
      </c>
      <c r="I438" s="16">
        <v>19.05</v>
      </c>
      <c r="J438" s="16">
        <v>13.82</v>
      </c>
      <c r="K438" s="16">
        <v>0.08</v>
      </c>
      <c r="M438" s="17" t="e">
        <f t="shared" si="18"/>
        <v>#DIV/0!</v>
      </c>
      <c r="N438" s="17">
        <f t="shared" si="19"/>
        <v>0.0289435600578871</v>
      </c>
      <c r="O438" s="16">
        <f t="shared" si="20"/>
        <v>5</v>
      </c>
      <c r="P438" s="16">
        <v>13.1</v>
      </c>
      <c r="Q438" s="16">
        <v>4.69</v>
      </c>
      <c r="R438" s="16">
        <v>0.34</v>
      </c>
      <c r="S438" s="16">
        <v>3.29</v>
      </c>
      <c r="T438" s="16">
        <v>275</v>
      </c>
      <c r="U438" s="25">
        <v>58</v>
      </c>
      <c r="V438" s="15">
        <v>0</v>
      </c>
    </row>
    <row r="439" spans="1:22">
      <c r="A439" s="1">
        <v>1755</v>
      </c>
      <c r="B439" s="14" t="s">
        <v>26</v>
      </c>
      <c r="C439" s="15">
        <v>74</v>
      </c>
      <c r="D439" s="15" t="s">
        <v>23</v>
      </c>
      <c r="E439" s="16" t="s">
        <v>24</v>
      </c>
      <c r="F439" s="16" t="s">
        <v>25</v>
      </c>
      <c r="G439" s="16" t="s">
        <v>25</v>
      </c>
      <c r="H439" s="16">
        <v>109.44</v>
      </c>
      <c r="I439" s="16">
        <v>10.81</v>
      </c>
      <c r="J439" s="16">
        <v>4.57</v>
      </c>
      <c r="K439" s="16">
        <v>3.83</v>
      </c>
      <c r="M439" s="17" t="e">
        <f t="shared" si="18"/>
        <v>#DIV/0!</v>
      </c>
      <c r="N439" s="17">
        <f t="shared" si="19"/>
        <v>23.9474835886214</v>
      </c>
      <c r="O439" s="16">
        <f t="shared" si="20"/>
        <v>28.5744125326371</v>
      </c>
      <c r="P439" s="16">
        <v>11.6</v>
      </c>
      <c r="Q439" s="16">
        <v>2.76</v>
      </c>
      <c r="R439" s="16">
        <v>2.96</v>
      </c>
      <c r="T439" s="16">
        <v>153</v>
      </c>
      <c r="U439" s="25">
        <v>34</v>
      </c>
      <c r="V439" s="15">
        <v>0</v>
      </c>
    </row>
    <row r="440" spans="1:22">
      <c r="A440" s="1">
        <v>1756</v>
      </c>
      <c r="B440" s="14" t="s">
        <v>26</v>
      </c>
      <c r="C440" s="15">
        <v>86</v>
      </c>
      <c r="D440" s="15" t="s">
        <v>23</v>
      </c>
      <c r="E440" s="16" t="s">
        <v>24</v>
      </c>
      <c r="F440" s="16" t="s">
        <v>31</v>
      </c>
      <c r="G440" s="16" t="s">
        <v>33</v>
      </c>
      <c r="H440" s="16">
        <v>40.68</v>
      </c>
      <c r="I440" s="16">
        <v>12.57</v>
      </c>
      <c r="J440" s="16">
        <v>11.74</v>
      </c>
      <c r="K440" s="16">
        <v>6.96</v>
      </c>
      <c r="M440" s="17" t="e">
        <f t="shared" si="18"/>
        <v>#DIV/0!</v>
      </c>
      <c r="N440" s="17">
        <f t="shared" si="19"/>
        <v>3.46507666098807</v>
      </c>
      <c r="O440" s="16">
        <f t="shared" si="20"/>
        <v>5.8448275862069</v>
      </c>
      <c r="P440" s="16">
        <v>12</v>
      </c>
      <c r="Q440" s="16">
        <v>3.27</v>
      </c>
      <c r="R440" s="16">
        <v>8.91</v>
      </c>
      <c r="T440" s="16">
        <v>195</v>
      </c>
      <c r="U440" s="25">
        <v>19</v>
      </c>
      <c r="V440" s="15">
        <v>0</v>
      </c>
    </row>
    <row r="441" spans="1:22">
      <c r="A441" s="1">
        <v>1757</v>
      </c>
      <c r="B441" s="14" t="s">
        <v>26</v>
      </c>
      <c r="C441" s="15">
        <v>86</v>
      </c>
      <c r="D441" s="22" t="s">
        <v>28</v>
      </c>
      <c r="E441" s="16" t="s">
        <v>24</v>
      </c>
      <c r="F441" s="16" t="s">
        <v>25</v>
      </c>
      <c r="G441" s="16" t="s">
        <v>25</v>
      </c>
      <c r="H441" s="16">
        <v>4.73</v>
      </c>
      <c r="I441" s="16">
        <v>14.87</v>
      </c>
      <c r="J441" s="16">
        <v>6.68</v>
      </c>
      <c r="K441" s="16">
        <v>1.33</v>
      </c>
      <c r="L441" s="16">
        <v>64</v>
      </c>
      <c r="M441" s="17">
        <f t="shared" si="18"/>
        <v>7.390625</v>
      </c>
      <c r="N441" s="17">
        <f t="shared" si="19"/>
        <v>0.708083832335329</v>
      </c>
      <c r="O441" s="16">
        <f t="shared" si="20"/>
        <v>3.55639097744361</v>
      </c>
      <c r="P441" s="16">
        <v>15.4</v>
      </c>
      <c r="Q441" s="16">
        <v>5.2</v>
      </c>
      <c r="R441" s="16">
        <v>2.8</v>
      </c>
      <c r="S441" s="16">
        <v>8.78</v>
      </c>
      <c r="T441" s="16">
        <v>266</v>
      </c>
      <c r="U441" s="25">
        <v>19</v>
      </c>
      <c r="V441" s="15">
        <v>0</v>
      </c>
    </row>
    <row r="442" spans="1:22">
      <c r="A442" s="1">
        <v>1765</v>
      </c>
      <c r="B442" s="14" t="s">
        <v>26</v>
      </c>
      <c r="C442" s="15">
        <v>47</v>
      </c>
      <c r="D442" s="15" t="s">
        <v>23</v>
      </c>
      <c r="E442" s="16" t="s">
        <v>24</v>
      </c>
      <c r="F442" s="16" t="s">
        <v>25</v>
      </c>
      <c r="G442" s="16" t="s">
        <v>25</v>
      </c>
      <c r="H442" s="16">
        <v>6.43</v>
      </c>
      <c r="I442" s="16">
        <v>17.53</v>
      </c>
      <c r="J442" s="16">
        <v>30.02</v>
      </c>
      <c r="K442" s="16">
        <v>0.72</v>
      </c>
      <c r="M442" s="17" t="e">
        <f t="shared" si="18"/>
        <v>#DIV/0!</v>
      </c>
      <c r="N442" s="17">
        <f t="shared" si="19"/>
        <v>0.21419053964024</v>
      </c>
      <c r="O442" s="16">
        <f t="shared" si="20"/>
        <v>8.93055555555556</v>
      </c>
      <c r="P442" s="16">
        <v>12</v>
      </c>
      <c r="Q442" s="16">
        <v>2.23</v>
      </c>
      <c r="R442" s="16">
        <v>0.74</v>
      </c>
      <c r="S442" s="16">
        <v>2.52</v>
      </c>
      <c r="T442" s="16">
        <v>351</v>
      </c>
      <c r="U442" s="25">
        <v>42</v>
      </c>
      <c r="V442" s="15">
        <v>1</v>
      </c>
    </row>
    <row r="443" spans="1:22">
      <c r="A443" s="1">
        <v>1766</v>
      </c>
      <c r="B443" s="14" t="s">
        <v>26</v>
      </c>
      <c r="C443" s="15">
        <v>47</v>
      </c>
      <c r="D443" s="15" t="s">
        <v>27</v>
      </c>
      <c r="E443" s="16" t="s">
        <v>24</v>
      </c>
      <c r="F443" s="16" t="s">
        <v>25</v>
      </c>
      <c r="G443" s="16" t="s">
        <v>25</v>
      </c>
      <c r="H443" s="16">
        <v>2.2</v>
      </c>
      <c r="I443" s="16">
        <v>10.86</v>
      </c>
      <c r="J443" s="16">
        <v>25.79</v>
      </c>
      <c r="K443" s="16">
        <v>1.24</v>
      </c>
      <c r="M443" s="17" t="e">
        <f t="shared" si="18"/>
        <v>#DIV/0!</v>
      </c>
      <c r="N443" s="17">
        <f t="shared" si="19"/>
        <v>0.0853043815432338</v>
      </c>
      <c r="O443" s="16">
        <f t="shared" si="20"/>
        <v>1.7741935483871</v>
      </c>
      <c r="P443" s="16">
        <v>13.3</v>
      </c>
      <c r="Q443" s="16">
        <v>6.13</v>
      </c>
      <c r="R443" s="16">
        <v>2.19</v>
      </c>
      <c r="T443" s="16">
        <v>551</v>
      </c>
      <c r="U443" s="25">
        <v>29</v>
      </c>
      <c r="V443" s="15">
        <v>0</v>
      </c>
    </row>
    <row r="444" spans="1:22">
      <c r="A444" s="1">
        <v>1769</v>
      </c>
      <c r="B444" s="14" t="s">
        <v>26</v>
      </c>
      <c r="C444" s="15">
        <v>45</v>
      </c>
      <c r="D444" s="15" t="s">
        <v>27</v>
      </c>
      <c r="E444" s="16" t="s">
        <v>24</v>
      </c>
      <c r="F444" s="16" t="s">
        <v>25</v>
      </c>
      <c r="G444" s="16" t="s">
        <v>25</v>
      </c>
      <c r="H444" s="16">
        <v>8.09</v>
      </c>
      <c r="I444" s="16">
        <v>32.85</v>
      </c>
      <c r="J444" s="16">
        <v>5.05</v>
      </c>
      <c r="K444" s="16">
        <v>0.82</v>
      </c>
      <c r="M444" s="17" t="e">
        <f t="shared" si="18"/>
        <v>#DIV/0!</v>
      </c>
      <c r="N444" s="17">
        <f t="shared" si="19"/>
        <v>1.6019801980198</v>
      </c>
      <c r="O444" s="16">
        <f t="shared" si="20"/>
        <v>9.86585365853659</v>
      </c>
      <c r="P444" s="16">
        <v>13.2</v>
      </c>
      <c r="Q444" s="16">
        <v>3.95</v>
      </c>
      <c r="R444" s="16">
        <v>3.4</v>
      </c>
      <c r="T444" s="16">
        <v>170</v>
      </c>
      <c r="U444" s="25">
        <v>34</v>
      </c>
      <c r="V444" s="15">
        <v>0</v>
      </c>
    </row>
    <row r="445" spans="1:22">
      <c r="A445" s="1">
        <v>1772</v>
      </c>
      <c r="B445" s="14" t="s">
        <v>26</v>
      </c>
      <c r="C445" s="15">
        <v>69</v>
      </c>
      <c r="D445" s="15" t="s">
        <v>23</v>
      </c>
      <c r="E445" s="16" t="s">
        <v>24</v>
      </c>
      <c r="F445" s="16" t="s">
        <v>25</v>
      </c>
      <c r="G445" s="16" t="s">
        <v>25</v>
      </c>
      <c r="H445" s="16">
        <v>11.45</v>
      </c>
      <c r="I445" s="16">
        <v>23.02</v>
      </c>
      <c r="J445" s="16">
        <v>33.19</v>
      </c>
      <c r="K445" s="16">
        <v>3.03</v>
      </c>
      <c r="M445" s="17" t="e">
        <f t="shared" si="18"/>
        <v>#DIV/0!</v>
      </c>
      <c r="N445" s="17">
        <f t="shared" si="19"/>
        <v>0.344983428743597</v>
      </c>
      <c r="O445" s="16">
        <f t="shared" si="20"/>
        <v>3.77887788778878</v>
      </c>
      <c r="P445" s="16">
        <v>12.5</v>
      </c>
      <c r="Q445" s="16">
        <v>7.22</v>
      </c>
      <c r="R445" s="16">
        <v>9.31</v>
      </c>
      <c r="T445" s="16">
        <v>68</v>
      </c>
      <c r="U445" s="25">
        <v>20</v>
      </c>
      <c r="V445" s="15">
        <v>0</v>
      </c>
    </row>
    <row r="446" spans="1:22">
      <c r="A446" s="1">
        <v>1776</v>
      </c>
      <c r="B446" s="14" t="s">
        <v>26</v>
      </c>
      <c r="C446" s="15">
        <v>68</v>
      </c>
      <c r="D446" s="15" t="s">
        <v>23</v>
      </c>
      <c r="E446" s="16" t="s">
        <v>24</v>
      </c>
      <c r="F446" s="16" t="s">
        <v>25</v>
      </c>
      <c r="G446" s="16" t="s">
        <v>25</v>
      </c>
      <c r="H446" s="16">
        <v>29.97</v>
      </c>
      <c r="I446" s="16">
        <v>39.63</v>
      </c>
      <c r="J446" s="16">
        <v>12.47</v>
      </c>
      <c r="K446" s="16">
        <v>26.86</v>
      </c>
      <c r="M446" s="17" t="e">
        <f t="shared" si="18"/>
        <v>#DIV/0!</v>
      </c>
      <c r="N446" s="17">
        <f t="shared" si="19"/>
        <v>2.40336808340016</v>
      </c>
      <c r="O446" s="16">
        <f t="shared" si="20"/>
        <v>1.11578555472822</v>
      </c>
      <c r="P446" s="16">
        <v>12</v>
      </c>
      <c r="Q446" s="16">
        <v>4.1</v>
      </c>
      <c r="R446" s="16">
        <v>37.41</v>
      </c>
      <c r="T446" s="16">
        <v>169</v>
      </c>
      <c r="U446" s="25">
        <v>28</v>
      </c>
      <c r="V446" s="15">
        <v>0</v>
      </c>
    </row>
    <row r="447" spans="1:22">
      <c r="A447" s="1">
        <v>1782</v>
      </c>
      <c r="B447" s="14" t="s">
        <v>26</v>
      </c>
      <c r="C447" s="15">
        <v>57</v>
      </c>
      <c r="D447" s="15" t="s">
        <v>23</v>
      </c>
      <c r="E447" s="16" t="s">
        <v>29</v>
      </c>
      <c r="F447" s="16" t="s">
        <v>29</v>
      </c>
      <c r="G447" s="16" t="s">
        <v>29</v>
      </c>
      <c r="H447" s="16">
        <v>9.78</v>
      </c>
      <c r="I447" s="16">
        <v>40.12</v>
      </c>
      <c r="J447" s="16">
        <v>30.64</v>
      </c>
      <c r="K447" s="16">
        <v>1.56</v>
      </c>
      <c r="M447" s="17" t="e">
        <f t="shared" si="18"/>
        <v>#DIV/0!</v>
      </c>
      <c r="N447" s="17">
        <f t="shared" si="19"/>
        <v>0.319190600522193</v>
      </c>
      <c r="O447" s="16">
        <f t="shared" si="20"/>
        <v>6.26923076923077</v>
      </c>
      <c r="P447" s="16">
        <v>15.5</v>
      </c>
      <c r="Q447" s="16">
        <v>2.93</v>
      </c>
      <c r="R447" s="16">
        <v>3.24</v>
      </c>
      <c r="S447" s="16">
        <v>16.16</v>
      </c>
      <c r="T447" s="16">
        <v>25</v>
      </c>
      <c r="U447" s="25">
        <v>15</v>
      </c>
      <c r="V447" s="15">
        <v>1</v>
      </c>
    </row>
    <row r="448" spans="1:22">
      <c r="A448" s="1">
        <v>1787</v>
      </c>
      <c r="B448" s="14" t="s">
        <v>22</v>
      </c>
      <c r="C448" s="15">
        <v>24</v>
      </c>
      <c r="D448" s="22" t="s">
        <v>28</v>
      </c>
      <c r="E448" s="16" t="s">
        <v>29</v>
      </c>
      <c r="F448" s="16" t="s">
        <v>29</v>
      </c>
      <c r="G448" s="16" t="s">
        <v>29</v>
      </c>
      <c r="H448" s="16">
        <v>23.06</v>
      </c>
      <c r="I448" s="16">
        <v>22.75</v>
      </c>
      <c r="J448" s="16">
        <v>32.59</v>
      </c>
      <c r="K448" s="16">
        <v>0.37</v>
      </c>
      <c r="L448" s="16">
        <v>20</v>
      </c>
      <c r="M448" s="17">
        <f t="shared" si="18"/>
        <v>115.3</v>
      </c>
      <c r="N448" s="17">
        <f t="shared" si="19"/>
        <v>0.707579011966861</v>
      </c>
      <c r="O448" s="16">
        <f t="shared" si="20"/>
        <v>62.3243243243243</v>
      </c>
      <c r="P448" s="16">
        <v>24.1</v>
      </c>
      <c r="Q448" s="16">
        <v>1.76</v>
      </c>
      <c r="R448" s="16">
        <v>2.69</v>
      </c>
      <c r="S448" s="16">
        <v>6.98</v>
      </c>
      <c r="T448" s="16">
        <v>8</v>
      </c>
      <c r="U448" s="25">
        <v>42</v>
      </c>
      <c r="V448" s="15">
        <v>1</v>
      </c>
    </row>
    <row r="449" spans="1:22">
      <c r="A449" s="1">
        <v>1791</v>
      </c>
      <c r="B449" s="14" t="s">
        <v>26</v>
      </c>
      <c r="C449" s="15">
        <v>40</v>
      </c>
      <c r="D449" s="15" t="s">
        <v>27</v>
      </c>
      <c r="E449" s="16" t="s">
        <v>24</v>
      </c>
      <c r="F449" s="16" t="s">
        <v>31</v>
      </c>
      <c r="G449" s="16" t="s">
        <v>32</v>
      </c>
      <c r="H449" s="16">
        <v>17.64</v>
      </c>
      <c r="I449" s="16">
        <v>24.28</v>
      </c>
      <c r="J449" s="16">
        <v>19.59</v>
      </c>
      <c r="K449" s="16">
        <v>2.23</v>
      </c>
      <c r="L449" s="16">
        <v>50</v>
      </c>
      <c r="M449" s="17">
        <f t="shared" si="18"/>
        <v>35.28</v>
      </c>
      <c r="N449" s="17">
        <f t="shared" si="19"/>
        <v>0.900459418070444</v>
      </c>
      <c r="O449" s="16">
        <f t="shared" si="20"/>
        <v>7.91031390134529</v>
      </c>
      <c r="P449" s="16">
        <v>15.3</v>
      </c>
      <c r="Q449" s="16">
        <v>5.48</v>
      </c>
      <c r="R449" s="16">
        <v>3.93</v>
      </c>
      <c r="S449" s="16">
        <v>15.82</v>
      </c>
      <c r="T449" s="16">
        <v>81</v>
      </c>
      <c r="U449" s="25">
        <v>35</v>
      </c>
      <c r="V449" s="15">
        <v>0</v>
      </c>
    </row>
    <row r="450" spans="1:22">
      <c r="A450" s="1">
        <v>1793</v>
      </c>
      <c r="B450" s="14" t="s">
        <v>22</v>
      </c>
      <c r="C450" s="15">
        <v>53</v>
      </c>
      <c r="D450" s="15" t="s">
        <v>30</v>
      </c>
      <c r="E450" s="16" t="s">
        <v>24</v>
      </c>
      <c r="F450" s="16" t="s">
        <v>31</v>
      </c>
      <c r="G450" s="16" t="s">
        <v>32</v>
      </c>
      <c r="H450" s="16">
        <v>64.6</v>
      </c>
      <c r="I450" s="16">
        <v>28.62</v>
      </c>
      <c r="J450" s="16">
        <v>23.39</v>
      </c>
      <c r="K450" s="16">
        <v>1.07</v>
      </c>
      <c r="M450" s="17" t="e">
        <f t="shared" si="18"/>
        <v>#DIV/0!</v>
      </c>
      <c r="N450" s="17">
        <f t="shared" si="19"/>
        <v>2.76186404446345</v>
      </c>
      <c r="O450" s="16">
        <f t="shared" si="20"/>
        <v>60.3738317757009</v>
      </c>
      <c r="P450" s="16">
        <v>20.8</v>
      </c>
      <c r="Q450" s="16">
        <v>1.82</v>
      </c>
      <c r="T450" s="16">
        <v>88</v>
      </c>
      <c r="U450" s="25">
        <v>33</v>
      </c>
      <c r="V450" s="15">
        <v>0</v>
      </c>
    </row>
    <row r="451" spans="1:22">
      <c r="A451" s="1">
        <v>1796</v>
      </c>
      <c r="B451" s="14" t="s">
        <v>26</v>
      </c>
      <c r="C451" s="15">
        <v>45</v>
      </c>
      <c r="D451" s="15" t="s">
        <v>27</v>
      </c>
      <c r="E451" s="16" t="s">
        <v>24</v>
      </c>
      <c r="F451" s="16" t="s">
        <v>25</v>
      </c>
      <c r="G451" s="16" t="s">
        <v>25</v>
      </c>
      <c r="H451" s="16">
        <v>13.76</v>
      </c>
      <c r="I451" s="16">
        <v>30.22</v>
      </c>
      <c r="J451" s="16">
        <v>3.52</v>
      </c>
      <c r="K451" s="16">
        <v>1.77</v>
      </c>
      <c r="M451" s="17" t="e">
        <f>100*H451/L451</f>
        <v>#DIV/0!</v>
      </c>
      <c r="N451" s="17">
        <f>H451/J451</f>
        <v>3.90909090909091</v>
      </c>
      <c r="O451" s="16">
        <f>H451/K451</f>
        <v>7.77401129943503</v>
      </c>
      <c r="P451" s="16">
        <v>13.5</v>
      </c>
      <c r="Q451" s="16">
        <v>5.52</v>
      </c>
      <c r="R451" s="16">
        <v>5.61</v>
      </c>
      <c r="T451" s="16">
        <v>153</v>
      </c>
      <c r="U451" s="25">
        <v>34</v>
      </c>
      <c r="V451" s="15">
        <v>0</v>
      </c>
    </row>
    <row r="452" spans="1:22">
      <c r="A452" s="1">
        <v>1799</v>
      </c>
      <c r="B452" s="14" t="s">
        <v>26</v>
      </c>
      <c r="C452" s="15">
        <v>45</v>
      </c>
      <c r="D452" s="15" t="s">
        <v>27</v>
      </c>
      <c r="E452" s="16" t="s">
        <v>24</v>
      </c>
      <c r="F452" s="16" t="s">
        <v>25</v>
      </c>
      <c r="G452" s="16" t="s">
        <v>25</v>
      </c>
      <c r="H452" s="16">
        <v>4.08</v>
      </c>
      <c r="I452" s="16">
        <v>37.15</v>
      </c>
      <c r="J452" s="16">
        <v>9.96</v>
      </c>
      <c r="K452" s="16">
        <v>1.07</v>
      </c>
      <c r="L452" s="16">
        <v>91</v>
      </c>
      <c r="M452" s="17">
        <f>100*H452/L452</f>
        <v>4.48351648351648</v>
      </c>
      <c r="N452" s="17">
        <f>H452/J452</f>
        <v>0.409638554216867</v>
      </c>
      <c r="O452" s="16">
        <f>H452/K452</f>
        <v>3.81308411214953</v>
      </c>
      <c r="P452" s="16">
        <v>15.8</v>
      </c>
      <c r="Q452" s="16">
        <v>4.15</v>
      </c>
      <c r="R452" s="16">
        <v>4.92</v>
      </c>
      <c r="S452" s="16">
        <v>14.1</v>
      </c>
      <c r="T452" s="16">
        <v>215</v>
      </c>
      <c r="U452" s="25">
        <v>33</v>
      </c>
      <c r="V452" s="15">
        <v>0</v>
      </c>
    </row>
  </sheetData>
  <autoFilter xmlns:etc="http://www.wps.cn/officeDocument/2017/etCustomData" ref="A1:V452" etc:filterBottomFollowUsedRange="0">
    <extLst/>
  </autoFilter>
  <sortState ref="A2:CT452">
    <sortCondition ref="A2:A45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4857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G5" sqref="G5"/>
    </sheetView>
  </sheetViews>
  <sheetFormatPr defaultColWidth="9.02654867256637" defaultRowHeight="13.85"/>
  <cols>
    <col min="1" max="1" width="13.5486725663717" style="1" customWidth="1"/>
    <col min="2" max="3" width="13.5486725663717" style="2" customWidth="1"/>
    <col min="4" max="4" width="13.5486725663717" style="3" customWidth="1"/>
    <col min="5" max="5" width="13.5486725663717" style="4" customWidth="1"/>
    <col min="6" max="6" width="15.0088495575221" style="4" customWidth="1"/>
    <col min="7" max="11" width="13.5486725663717" style="4" customWidth="1"/>
    <col min="12" max="15" width="13.5486725663717" style="5" customWidth="1"/>
    <col min="16" max="20" width="13.5486725663717" style="3" customWidth="1"/>
    <col min="21" max="21" width="18.7256637168142" style="5" customWidth="1"/>
    <col min="22" max="22" width="28.2212389380531" style="3" customWidth="1"/>
  </cols>
  <sheetData>
    <row r="1" ht="13.5" spans="1:22">
      <c r="A1" s="6" t="s">
        <v>37</v>
      </c>
      <c r="B1" s="1" t="s">
        <v>38</v>
      </c>
      <c r="C1" s="1" t="s">
        <v>2</v>
      </c>
      <c r="D1" s="1" t="s">
        <v>39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0" t="s">
        <v>11</v>
      </c>
      <c r="M1" s="10" t="s">
        <v>12</v>
      </c>
      <c r="N1" s="10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11" t="s">
        <v>20</v>
      </c>
      <c r="V1" s="11" t="s">
        <v>21</v>
      </c>
    </row>
    <row r="2" spans="1:22">
      <c r="A2" s="1" t="s">
        <v>40</v>
      </c>
      <c r="B2" s="2" t="s">
        <v>41</v>
      </c>
      <c r="C2" s="2">
        <v>60</v>
      </c>
      <c r="D2" s="9" t="s">
        <v>42</v>
      </c>
      <c r="E2" s="4" t="s">
        <v>24</v>
      </c>
      <c r="F2" s="4" t="s">
        <v>31</v>
      </c>
      <c r="G2" s="2" t="s">
        <v>32</v>
      </c>
      <c r="H2" s="2">
        <v>3.09</v>
      </c>
      <c r="I2" s="2">
        <v>27.02</v>
      </c>
      <c r="J2" s="2">
        <v>7.6</v>
      </c>
      <c r="K2" s="2">
        <v>0.99</v>
      </c>
      <c r="L2" s="2">
        <v>66</v>
      </c>
      <c r="M2" s="4">
        <f>100*H2/L2</f>
        <v>4.68181818181818</v>
      </c>
      <c r="N2" s="4">
        <f>H2/J2</f>
        <v>0.406578947368421</v>
      </c>
      <c r="O2" s="4">
        <f>H2/K2</f>
        <v>3.12121212121212</v>
      </c>
      <c r="P2" s="2">
        <v>13.2</v>
      </c>
      <c r="Q2" s="2">
        <v>8.99</v>
      </c>
      <c r="R2" s="2">
        <v>1.76</v>
      </c>
      <c r="S2" s="2">
        <v>5.98</v>
      </c>
      <c r="T2" s="2">
        <v>295</v>
      </c>
      <c r="U2" s="4">
        <v>41</v>
      </c>
      <c r="V2" s="4">
        <v>1</v>
      </c>
    </row>
    <row r="3" spans="1:22">
      <c r="A3" s="1" t="s">
        <v>43</v>
      </c>
      <c r="B3" s="2" t="s">
        <v>41</v>
      </c>
      <c r="C3" s="2">
        <v>65</v>
      </c>
      <c r="D3" s="9" t="s">
        <v>42</v>
      </c>
      <c r="E3" s="4" t="s">
        <v>29</v>
      </c>
      <c r="F3" s="4" t="s">
        <v>29</v>
      </c>
      <c r="G3" s="4" t="s">
        <v>29</v>
      </c>
      <c r="H3" s="2">
        <v>4.07</v>
      </c>
      <c r="I3" s="2">
        <v>29.42</v>
      </c>
      <c r="J3" s="2">
        <v>2.96</v>
      </c>
      <c r="K3" s="2">
        <v>0.48</v>
      </c>
      <c r="L3" s="2">
        <v>34</v>
      </c>
      <c r="M3" s="4">
        <f t="shared" ref="M3:M66" si="0">100*H3/L3</f>
        <v>11.9705882352941</v>
      </c>
      <c r="N3" s="4">
        <f t="shared" ref="N3:N66" si="1">H3/J3</f>
        <v>1.375</v>
      </c>
      <c r="O3" s="4">
        <f t="shared" ref="O3:O66" si="2">H3/K3</f>
        <v>8.47916666666667</v>
      </c>
      <c r="P3" s="2">
        <v>18.3</v>
      </c>
      <c r="Q3" s="2">
        <v>1.22</v>
      </c>
      <c r="R3" s="2">
        <v>7.78</v>
      </c>
      <c r="S3" s="2">
        <v>27.47</v>
      </c>
      <c r="T3" s="2">
        <v>59</v>
      </c>
      <c r="U3" s="4">
        <v>34</v>
      </c>
      <c r="V3" s="4">
        <v>1</v>
      </c>
    </row>
    <row r="4" spans="1:22">
      <c r="A4" s="1" t="s">
        <v>44</v>
      </c>
      <c r="B4" s="2" t="s">
        <v>45</v>
      </c>
      <c r="C4" s="2">
        <v>51</v>
      </c>
      <c r="D4" s="9" t="s">
        <v>42</v>
      </c>
      <c r="E4" s="4" t="s">
        <v>24</v>
      </c>
      <c r="F4" s="4" t="s">
        <v>25</v>
      </c>
      <c r="G4" s="4" t="s">
        <v>25</v>
      </c>
      <c r="H4" s="2">
        <v>11.8</v>
      </c>
      <c r="I4" s="2">
        <v>32.68</v>
      </c>
      <c r="J4" s="2">
        <v>21.25</v>
      </c>
      <c r="K4" s="2">
        <v>0.38</v>
      </c>
      <c r="L4" s="2">
        <v>70</v>
      </c>
      <c r="M4" s="4">
        <f t="shared" si="0"/>
        <v>16.8571428571429</v>
      </c>
      <c r="N4" s="4">
        <f t="shared" si="1"/>
        <v>0.555294117647059</v>
      </c>
      <c r="O4" s="4">
        <f t="shared" si="2"/>
        <v>31.0526315789474</v>
      </c>
      <c r="P4" s="2">
        <v>15.7</v>
      </c>
      <c r="Q4" s="2">
        <v>6.63</v>
      </c>
      <c r="R4" s="2">
        <v>3.35</v>
      </c>
      <c r="S4" s="2">
        <v>13.04</v>
      </c>
      <c r="T4" s="2">
        <v>346</v>
      </c>
      <c r="U4" s="4">
        <v>34</v>
      </c>
      <c r="V4" s="4">
        <v>0</v>
      </c>
    </row>
    <row r="5" spans="1:22">
      <c r="A5" s="1" t="s">
        <v>46</v>
      </c>
      <c r="B5" s="2" t="s">
        <v>45</v>
      </c>
      <c r="C5" s="2">
        <v>78</v>
      </c>
      <c r="D5" s="9" t="s">
        <v>47</v>
      </c>
      <c r="E5" s="4" t="s">
        <v>29</v>
      </c>
      <c r="F5" s="4" t="s">
        <v>29</v>
      </c>
      <c r="G5" s="4" t="s">
        <v>29</v>
      </c>
      <c r="H5" s="2">
        <v>5.95</v>
      </c>
      <c r="I5" s="2">
        <v>37.64</v>
      </c>
      <c r="J5" s="2">
        <v>16.21</v>
      </c>
      <c r="K5" s="2">
        <v>0.22</v>
      </c>
      <c r="L5" s="2">
        <v>27</v>
      </c>
      <c r="M5" s="4">
        <f t="shared" si="0"/>
        <v>22.037037037037</v>
      </c>
      <c r="N5" s="4">
        <f t="shared" si="1"/>
        <v>0.367057371992597</v>
      </c>
      <c r="O5" s="4">
        <f t="shared" si="2"/>
        <v>27.0454545454545</v>
      </c>
      <c r="P5" s="2">
        <v>25.4</v>
      </c>
      <c r="Q5" s="2">
        <v>1.87</v>
      </c>
      <c r="R5" s="2">
        <v>2.95</v>
      </c>
      <c r="S5" s="2">
        <v>14.55</v>
      </c>
      <c r="T5" s="2">
        <v>129</v>
      </c>
      <c r="U5" s="4">
        <v>7</v>
      </c>
      <c r="V5" s="4">
        <v>1</v>
      </c>
    </row>
    <row r="6" spans="1:22">
      <c r="A6" s="1" t="s">
        <v>48</v>
      </c>
      <c r="B6" s="2" t="s">
        <v>41</v>
      </c>
      <c r="C6" s="2">
        <v>66</v>
      </c>
      <c r="D6" s="9" t="s">
        <v>35</v>
      </c>
      <c r="E6" s="4" t="s">
        <v>24</v>
      </c>
      <c r="F6" s="4" t="s">
        <v>25</v>
      </c>
      <c r="G6" s="4" t="s">
        <v>25</v>
      </c>
      <c r="H6" s="2">
        <v>23.48</v>
      </c>
      <c r="I6" s="2">
        <v>26.03</v>
      </c>
      <c r="J6" s="2">
        <v>9.71</v>
      </c>
      <c r="K6" s="2">
        <v>6.51</v>
      </c>
      <c r="L6" s="2"/>
      <c r="M6" s="4" t="e">
        <f t="shared" si="0"/>
        <v>#DIV/0!</v>
      </c>
      <c r="N6" s="4">
        <f t="shared" si="1"/>
        <v>2.41812564366632</v>
      </c>
      <c r="O6" s="4">
        <f t="shared" si="2"/>
        <v>3.60675883256528</v>
      </c>
      <c r="P6" s="2">
        <v>11.5</v>
      </c>
      <c r="Q6" s="2">
        <v>9.04</v>
      </c>
      <c r="R6" s="2">
        <v>4.68</v>
      </c>
      <c r="S6" s="2"/>
      <c r="T6" s="2">
        <v>63</v>
      </c>
      <c r="U6" s="4">
        <v>17</v>
      </c>
      <c r="V6" s="4">
        <v>1</v>
      </c>
    </row>
    <row r="7" spans="1:22">
      <c r="A7" s="1" t="s">
        <v>49</v>
      </c>
      <c r="B7" s="2" t="s">
        <v>41</v>
      </c>
      <c r="C7" s="2">
        <v>66</v>
      </c>
      <c r="D7" s="9" t="s">
        <v>42</v>
      </c>
      <c r="E7" s="4" t="s">
        <v>24</v>
      </c>
      <c r="F7" s="4" t="s">
        <v>31</v>
      </c>
      <c r="G7" s="2" t="s">
        <v>32</v>
      </c>
      <c r="H7" s="2">
        <v>3.19</v>
      </c>
      <c r="I7" s="2">
        <v>20.72</v>
      </c>
      <c r="J7" s="2">
        <v>9.71</v>
      </c>
      <c r="K7" s="2">
        <v>1.11</v>
      </c>
      <c r="L7" s="2"/>
      <c r="M7" s="4" t="e">
        <f t="shared" si="0"/>
        <v>#DIV/0!</v>
      </c>
      <c r="N7" s="4">
        <f t="shared" si="1"/>
        <v>0.328527291452111</v>
      </c>
      <c r="O7" s="4">
        <f t="shared" si="2"/>
        <v>2.87387387387387</v>
      </c>
      <c r="P7" s="2">
        <v>13.4</v>
      </c>
      <c r="Q7" s="2">
        <v>4.27</v>
      </c>
      <c r="R7" s="2">
        <v>2.3</v>
      </c>
      <c r="S7" s="2"/>
      <c r="T7" s="2">
        <v>32</v>
      </c>
      <c r="U7" s="4">
        <v>8</v>
      </c>
      <c r="V7" s="4">
        <v>0</v>
      </c>
    </row>
    <row r="8" spans="1:22">
      <c r="A8" s="1" t="s">
        <v>50</v>
      </c>
      <c r="B8" s="2" t="s">
        <v>45</v>
      </c>
      <c r="C8" s="2">
        <v>36</v>
      </c>
      <c r="D8" s="9" t="s">
        <v>35</v>
      </c>
      <c r="E8" s="4" t="s">
        <v>29</v>
      </c>
      <c r="F8" s="4" t="s">
        <v>29</v>
      </c>
      <c r="G8" s="4" t="s">
        <v>29</v>
      </c>
      <c r="H8" s="2">
        <v>10.13</v>
      </c>
      <c r="I8" s="2">
        <v>68.65</v>
      </c>
      <c r="J8" s="2">
        <v>31.06</v>
      </c>
      <c r="K8" s="2">
        <v>0.76</v>
      </c>
      <c r="L8" s="2"/>
      <c r="M8" s="4" t="e">
        <f t="shared" si="0"/>
        <v>#DIV/0!</v>
      </c>
      <c r="N8" s="4">
        <f t="shared" si="1"/>
        <v>0.326142949130715</v>
      </c>
      <c r="O8" s="4">
        <f t="shared" si="2"/>
        <v>13.3289473684211</v>
      </c>
      <c r="P8" s="2">
        <v>17.7</v>
      </c>
      <c r="Q8" s="2">
        <v>8.42</v>
      </c>
      <c r="R8" s="2">
        <v>2.76</v>
      </c>
      <c r="S8" s="2"/>
      <c r="T8" s="2">
        <v>22</v>
      </c>
      <c r="U8" s="4">
        <v>11</v>
      </c>
      <c r="V8" s="4">
        <v>0</v>
      </c>
    </row>
    <row r="9" spans="1:22">
      <c r="A9" s="1" t="s">
        <v>51</v>
      </c>
      <c r="B9" s="2" t="s">
        <v>41</v>
      </c>
      <c r="C9" s="2">
        <v>54</v>
      </c>
      <c r="D9" s="9" t="s">
        <v>42</v>
      </c>
      <c r="E9" s="4" t="s">
        <v>24</v>
      </c>
      <c r="F9" s="4" t="s">
        <v>25</v>
      </c>
      <c r="G9" s="4" t="s">
        <v>25</v>
      </c>
      <c r="H9" s="2">
        <v>17.81</v>
      </c>
      <c r="I9" s="2">
        <v>26.86</v>
      </c>
      <c r="J9" s="2">
        <v>7.5</v>
      </c>
      <c r="K9" s="2">
        <v>3.28</v>
      </c>
      <c r="L9" s="2">
        <v>97</v>
      </c>
      <c r="M9" s="4">
        <f t="shared" si="0"/>
        <v>18.360824742268</v>
      </c>
      <c r="N9" s="4">
        <f t="shared" si="1"/>
        <v>2.37466666666667</v>
      </c>
      <c r="O9" s="4">
        <f t="shared" si="2"/>
        <v>5.42987804878049</v>
      </c>
      <c r="P9" s="2">
        <v>13.6</v>
      </c>
      <c r="Q9" s="2">
        <v>7.49</v>
      </c>
      <c r="R9" s="2">
        <v>2.98</v>
      </c>
      <c r="S9" s="2">
        <v>11.75</v>
      </c>
      <c r="T9" s="2">
        <v>240</v>
      </c>
      <c r="U9" s="4">
        <v>30</v>
      </c>
      <c r="V9" s="4">
        <v>0</v>
      </c>
    </row>
    <row r="10" spans="1:22">
      <c r="A10" s="1" t="s">
        <v>52</v>
      </c>
      <c r="B10" s="2" t="s">
        <v>41</v>
      </c>
      <c r="C10" s="2">
        <v>60</v>
      </c>
      <c r="D10" s="9" t="s">
        <v>28</v>
      </c>
      <c r="E10" s="4" t="s">
        <v>29</v>
      </c>
      <c r="F10" s="4" t="s">
        <v>29</v>
      </c>
      <c r="G10" s="4" t="s">
        <v>29</v>
      </c>
      <c r="H10" s="2">
        <v>75.92</v>
      </c>
      <c r="I10" s="2">
        <v>39.38</v>
      </c>
      <c r="J10" s="2">
        <v>13.3</v>
      </c>
      <c r="K10" s="2">
        <v>8.57</v>
      </c>
      <c r="L10" s="2">
        <v>50</v>
      </c>
      <c r="M10" s="4">
        <f t="shared" si="0"/>
        <v>151.84</v>
      </c>
      <c r="N10" s="4">
        <f t="shared" si="1"/>
        <v>5.70827067669173</v>
      </c>
      <c r="O10" s="4">
        <f t="shared" si="2"/>
        <v>8.8588098016336</v>
      </c>
      <c r="P10" s="2">
        <v>23.7</v>
      </c>
      <c r="Q10" s="2">
        <v>3.28</v>
      </c>
      <c r="R10" s="2">
        <v>20</v>
      </c>
      <c r="S10" s="2">
        <v>110.52</v>
      </c>
      <c r="T10" s="2">
        <v>126</v>
      </c>
      <c r="U10" s="4">
        <v>65</v>
      </c>
      <c r="V10" s="4">
        <v>1</v>
      </c>
    </row>
    <row r="11" spans="1:22">
      <c r="A11" s="1" t="s">
        <v>52</v>
      </c>
      <c r="B11" s="2" t="s">
        <v>41</v>
      </c>
      <c r="C11" s="2">
        <v>60</v>
      </c>
      <c r="D11" s="9" t="s">
        <v>28</v>
      </c>
      <c r="E11" s="4" t="s">
        <v>29</v>
      </c>
      <c r="F11" s="4" t="s">
        <v>29</v>
      </c>
      <c r="G11" s="4" t="s">
        <v>29</v>
      </c>
      <c r="H11" s="2">
        <v>181.8</v>
      </c>
      <c r="I11" s="2">
        <v>36.97</v>
      </c>
      <c r="J11" s="2">
        <v>11.29</v>
      </c>
      <c r="K11" s="2">
        <v>7.11</v>
      </c>
      <c r="L11" s="2"/>
      <c r="M11" s="4" t="e">
        <f t="shared" si="0"/>
        <v>#DIV/0!</v>
      </c>
      <c r="N11" s="4">
        <f t="shared" si="1"/>
        <v>16.1027457927369</v>
      </c>
      <c r="O11" s="4">
        <f t="shared" si="2"/>
        <v>25.5696202531646</v>
      </c>
      <c r="P11" s="2">
        <v>28.9</v>
      </c>
      <c r="Q11" s="2">
        <v>3.44</v>
      </c>
      <c r="R11" s="2">
        <v>8.69</v>
      </c>
      <c r="S11" s="2"/>
      <c r="T11" s="2">
        <v>137</v>
      </c>
      <c r="U11" s="4">
        <v>65</v>
      </c>
      <c r="V11" s="4">
        <v>1</v>
      </c>
    </row>
    <row r="12" spans="1:22">
      <c r="A12" s="1" t="s">
        <v>53</v>
      </c>
      <c r="B12" s="2" t="s">
        <v>41</v>
      </c>
      <c r="C12" s="2">
        <v>64</v>
      </c>
      <c r="D12" s="9" t="s">
        <v>36</v>
      </c>
      <c r="E12" s="4" t="s">
        <v>24</v>
      </c>
      <c r="F12" s="4" t="s">
        <v>25</v>
      </c>
      <c r="G12" s="4" t="s">
        <v>25</v>
      </c>
      <c r="H12" s="2">
        <v>5</v>
      </c>
      <c r="I12" s="2">
        <v>9.72</v>
      </c>
      <c r="J12" s="2">
        <v>12.5</v>
      </c>
      <c r="K12" s="2">
        <v>0.45</v>
      </c>
      <c r="L12" s="2"/>
      <c r="M12" s="4" t="e">
        <f t="shared" si="0"/>
        <v>#DIV/0!</v>
      </c>
      <c r="N12" s="4">
        <f t="shared" si="1"/>
        <v>0.4</v>
      </c>
      <c r="O12" s="4">
        <f t="shared" si="2"/>
        <v>11.1111111111111</v>
      </c>
      <c r="P12" s="2">
        <v>16.3</v>
      </c>
      <c r="Q12" s="2">
        <v>4.16</v>
      </c>
      <c r="R12" s="2">
        <v>2.19</v>
      </c>
      <c r="S12" s="2"/>
      <c r="T12" s="2">
        <v>215</v>
      </c>
      <c r="U12" s="4">
        <v>32</v>
      </c>
      <c r="V12" s="4">
        <v>0</v>
      </c>
    </row>
    <row r="13" spans="1:22">
      <c r="A13" s="1" t="s">
        <v>54</v>
      </c>
      <c r="B13" s="2" t="s">
        <v>41</v>
      </c>
      <c r="C13" s="2">
        <v>59</v>
      </c>
      <c r="D13" s="9" t="s">
        <v>28</v>
      </c>
      <c r="E13" s="4" t="s">
        <v>29</v>
      </c>
      <c r="F13" s="4" t="s">
        <v>29</v>
      </c>
      <c r="G13" s="4" t="s">
        <v>29</v>
      </c>
      <c r="H13" s="2">
        <v>4.57</v>
      </c>
      <c r="I13" s="2">
        <v>22.31</v>
      </c>
      <c r="J13" s="2">
        <v>79.59</v>
      </c>
      <c r="K13" s="2">
        <v>0.32</v>
      </c>
      <c r="L13" s="2"/>
      <c r="M13" s="4" t="e">
        <f t="shared" si="0"/>
        <v>#DIV/0!</v>
      </c>
      <c r="N13" s="4">
        <f t="shared" si="1"/>
        <v>0.0574192737781128</v>
      </c>
      <c r="O13" s="4">
        <f t="shared" si="2"/>
        <v>14.28125</v>
      </c>
      <c r="P13" s="2">
        <v>56.2</v>
      </c>
      <c r="Q13" s="2">
        <v>1.5</v>
      </c>
      <c r="R13" s="2">
        <v>0.81</v>
      </c>
      <c r="S13" s="2"/>
      <c r="T13" s="2">
        <v>60</v>
      </c>
      <c r="U13" s="4">
        <v>3</v>
      </c>
      <c r="V13" s="4">
        <v>1</v>
      </c>
    </row>
    <row r="14" spans="1:22">
      <c r="A14" s="1" t="s">
        <v>55</v>
      </c>
      <c r="B14" s="2" t="s">
        <v>41</v>
      </c>
      <c r="C14" s="2">
        <v>57</v>
      </c>
      <c r="D14" s="9" t="s">
        <v>42</v>
      </c>
      <c r="E14" s="4" t="s">
        <v>29</v>
      </c>
      <c r="F14" s="4" t="s">
        <v>29</v>
      </c>
      <c r="G14" s="4" t="s">
        <v>29</v>
      </c>
      <c r="H14" s="2">
        <v>47.61</v>
      </c>
      <c r="I14" s="2">
        <v>34.75</v>
      </c>
      <c r="J14" s="2">
        <v>87.47</v>
      </c>
      <c r="K14" s="2">
        <v>0.17</v>
      </c>
      <c r="L14" s="2">
        <v>24</v>
      </c>
      <c r="M14" s="4">
        <f t="shared" si="0"/>
        <v>198.375</v>
      </c>
      <c r="N14" s="4">
        <f t="shared" si="1"/>
        <v>0.5443009031668</v>
      </c>
      <c r="O14" s="4">
        <f t="shared" si="2"/>
        <v>280.058823529412</v>
      </c>
      <c r="P14" s="2">
        <v>41</v>
      </c>
      <c r="Q14" s="2">
        <v>1.55</v>
      </c>
      <c r="R14" s="2">
        <v>2.86</v>
      </c>
      <c r="S14" s="2">
        <v>8.55</v>
      </c>
      <c r="T14" s="2">
        <v>14</v>
      </c>
      <c r="U14" s="4">
        <v>10</v>
      </c>
      <c r="V14" s="4">
        <v>1</v>
      </c>
    </row>
    <row r="15" spans="1:22">
      <c r="A15" s="1" t="s">
        <v>56</v>
      </c>
      <c r="B15" s="2" t="s">
        <v>45</v>
      </c>
      <c r="C15" s="2">
        <v>69</v>
      </c>
      <c r="D15" s="9" t="s">
        <v>42</v>
      </c>
      <c r="E15" s="4" t="s">
        <v>29</v>
      </c>
      <c r="F15" s="4" t="s">
        <v>29</v>
      </c>
      <c r="G15" s="4" t="s">
        <v>29</v>
      </c>
      <c r="H15" s="2">
        <v>11.63</v>
      </c>
      <c r="I15" s="2">
        <v>25.37</v>
      </c>
      <c r="J15" s="2">
        <v>7.57</v>
      </c>
      <c r="K15" s="2">
        <v>1.13</v>
      </c>
      <c r="L15" s="2">
        <v>43</v>
      </c>
      <c r="M15" s="4">
        <f t="shared" si="0"/>
        <v>27.046511627907</v>
      </c>
      <c r="N15" s="4">
        <f t="shared" si="1"/>
        <v>1.53632760898283</v>
      </c>
      <c r="O15" s="4">
        <f t="shared" si="2"/>
        <v>10.2920353982301</v>
      </c>
      <c r="P15" s="2">
        <v>15.4</v>
      </c>
      <c r="Q15" s="2">
        <v>3.41</v>
      </c>
      <c r="R15" s="2">
        <v>9.37</v>
      </c>
      <c r="S15" s="2">
        <v>40.74</v>
      </c>
      <c r="T15" s="2">
        <v>48</v>
      </c>
      <c r="U15" s="4">
        <v>14</v>
      </c>
      <c r="V15" s="4">
        <v>1</v>
      </c>
    </row>
    <row r="16" spans="1:22">
      <c r="A16" s="1" t="s">
        <v>57</v>
      </c>
      <c r="B16" s="2" t="s">
        <v>41</v>
      </c>
      <c r="C16" s="2">
        <v>66</v>
      </c>
      <c r="D16" s="9" t="s">
        <v>42</v>
      </c>
      <c r="E16" s="4" t="s">
        <v>24</v>
      </c>
      <c r="F16" s="4" t="s">
        <v>31</v>
      </c>
      <c r="G16" s="2" t="s">
        <v>32</v>
      </c>
      <c r="H16" s="2">
        <v>32.83</v>
      </c>
      <c r="I16" s="2">
        <v>34.63</v>
      </c>
      <c r="J16" s="2">
        <v>10.94</v>
      </c>
      <c r="K16" s="2">
        <v>1.28</v>
      </c>
      <c r="L16" s="2">
        <v>64</v>
      </c>
      <c r="M16" s="4">
        <f t="shared" si="0"/>
        <v>51.296875</v>
      </c>
      <c r="N16" s="4">
        <f t="shared" si="1"/>
        <v>3.00091407678245</v>
      </c>
      <c r="O16" s="4">
        <f t="shared" si="2"/>
        <v>25.6484375</v>
      </c>
      <c r="P16" s="2">
        <v>17</v>
      </c>
      <c r="Q16" s="2">
        <v>4.29</v>
      </c>
      <c r="R16" s="2">
        <v>3.36</v>
      </c>
      <c r="S16" s="2">
        <v>13.29</v>
      </c>
      <c r="T16" s="2">
        <v>51</v>
      </c>
      <c r="U16" s="4">
        <v>32</v>
      </c>
      <c r="V16" s="4">
        <v>1</v>
      </c>
    </row>
    <row r="17" spans="1:22">
      <c r="A17" s="1" t="s">
        <v>58</v>
      </c>
      <c r="B17" s="2" t="s">
        <v>41</v>
      </c>
      <c r="C17" s="2">
        <v>57</v>
      </c>
      <c r="D17" s="9" t="s">
        <v>28</v>
      </c>
      <c r="E17" s="4" t="s">
        <v>24</v>
      </c>
      <c r="F17" s="4" t="s">
        <v>25</v>
      </c>
      <c r="G17" s="4" t="s">
        <v>25</v>
      </c>
      <c r="H17" s="2">
        <v>64.82</v>
      </c>
      <c r="I17" s="2">
        <v>21.21</v>
      </c>
      <c r="J17" s="2">
        <v>10.13</v>
      </c>
      <c r="K17" s="2">
        <v>5.01</v>
      </c>
      <c r="L17" s="2">
        <v>112</v>
      </c>
      <c r="M17" s="4">
        <f t="shared" si="0"/>
        <v>57.875</v>
      </c>
      <c r="N17" s="4">
        <f t="shared" si="1"/>
        <v>6.39881539980257</v>
      </c>
      <c r="O17" s="4">
        <f t="shared" si="2"/>
        <v>12.938123752495</v>
      </c>
      <c r="P17" s="2">
        <v>13.1</v>
      </c>
      <c r="Q17" s="2">
        <v>4.37</v>
      </c>
      <c r="R17" s="2">
        <v>10.33</v>
      </c>
      <c r="S17" s="2">
        <v>34.51</v>
      </c>
      <c r="T17" s="2">
        <v>148</v>
      </c>
      <c r="U17" s="4">
        <v>30</v>
      </c>
      <c r="V17" s="4">
        <v>1</v>
      </c>
    </row>
    <row r="18" spans="1:22">
      <c r="A18" s="1" t="s">
        <v>59</v>
      </c>
      <c r="B18" s="2" t="s">
        <v>41</v>
      </c>
      <c r="C18" s="2">
        <v>68</v>
      </c>
      <c r="D18" s="9" t="s">
        <v>42</v>
      </c>
      <c r="E18" s="4" t="s">
        <v>29</v>
      </c>
      <c r="F18" s="4" t="s">
        <v>29</v>
      </c>
      <c r="G18" s="4" t="s">
        <v>29</v>
      </c>
      <c r="H18" s="2">
        <v>30.6</v>
      </c>
      <c r="I18" s="2">
        <v>41.02</v>
      </c>
      <c r="J18" s="2">
        <v>80.56</v>
      </c>
      <c r="K18" s="2">
        <v>0.7</v>
      </c>
      <c r="L18" s="2">
        <v>29</v>
      </c>
      <c r="M18" s="4">
        <f t="shared" si="0"/>
        <v>105.51724137931</v>
      </c>
      <c r="N18" s="4">
        <f t="shared" si="1"/>
        <v>0.379841112214499</v>
      </c>
      <c r="O18" s="4">
        <f t="shared" si="2"/>
        <v>43.7142857142857</v>
      </c>
      <c r="P18" s="2">
        <v>39.5</v>
      </c>
      <c r="Q18" s="2">
        <v>2.09</v>
      </c>
      <c r="R18" s="2">
        <v>5.97</v>
      </c>
      <c r="S18" s="2">
        <v>26.33</v>
      </c>
      <c r="T18" s="2">
        <v>54</v>
      </c>
      <c r="U18" s="4">
        <v>21</v>
      </c>
      <c r="V18" s="4">
        <v>1</v>
      </c>
    </row>
    <row r="19" ht="13.9" spans="1:22">
      <c r="A19" s="1" t="s">
        <v>60</v>
      </c>
      <c r="B19" s="2" t="s">
        <v>41</v>
      </c>
      <c r="C19" s="2">
        <v>75</v>
      </c>
      <c r="D19" s="9" t="s">
        <v>61</v>
      </c>
      <c r="E19" s="4" t="s">
        <v>29</v>
      </c>
      <c r="F19" s="4" t="s">
        <v>29</v>
      </c>
      <c r="G19" s="4" t="s">
        <v>29</v>
      </c>
      <c r="H19" s="2">
        <v>22.08</v>
      </c>
      <c r="I19" s="2">
        <v>35.74</v>
      </c>
      <c r="J19" s="2">
        <v>30.78</v>
      </c>
      <c r="K19" s="2">
        <v>0.54</v>
      </c>
      <c r="L19" s="2">
        <v>26</v>
      </c>
      <c r="M19" s="4">
        <f t="shared" si="0"/>
        <v>84.9230769230769</v>
      </c>
      <c r="N19" s="4">
        <f t="shared" si="1"/>
        <v>0.717348927875244</v>
      </c>
      <c r="O19" s="4">
        <f t="shared" si="2"/>
        <v>40.8888888888889</v>
      </c>
      <c r="P19" s="2">
        <v>27.2</v>
      </c>
      <c r="Q19" s="2">
        <v>1.63</v>
      </c>
      <c r="R19" s="2">
        <v>6.22</v>
      </c>
      <c r="S19" s="2">
        <v>22.5</v>
      </c>
      <c r="T19" s="2">
        <v>8</v>
      </c>
      <c r="U19" s="4">
        <v>23</v>
      </c>
      <c r="V19" s="4">
        <v>1</v>
      </c>
    </row>
    <row r="20" ht="13.9" spans="1:22">
      <c r="A20" s="1" t="s">
        <v>60</v>
      </c>
      <c r="B20" s="2" t="s">
        <v>41</v>
      </c>
      <c r="C20" s="2">
        <v>75</v>
      </c>
      <c r="D20" s="9" t="s">
        <v>61</v>
      </c>
      <c r="E20" s="4" t="s">
        <v>29</v>
      </c>
      <c r="F20" s="4" t="s">
        <v>29</v>
      </c>
      <c r="G20" s="4" t="s">
        <v>29</v>
      </c>
      <c r="H20" s="2">
        <v>39.43</v>
      </c>
      <c r="I20" s="2">
        <v>26.35</v>
      </c>
      <c r="J20" s="2">
        <v>13.77</v>
      </c>
      <c r="K20" s="2">
        <v>1.74</v>
      </c>
      <c r="L20" s="2">
        <v>31</v>
      </c>
      <c r="M20" s="4">
        <f t="shared" si="0"/>
        <v>127.193548387097</v>
      </c>
      <c r="N20" s="4">
        <f t="shared" si="1"/>
        <v>2.86347131445171</v>
      </c>
      <c r="O20" s="4">
        <f t="shared" si="2"/>
        <v>22.6609195402299</v>
      </c>
      <c r="P20" s="2">
        <v>18.7</v>
      </c>
      <c r="Q20" s="2">
        <v>1.6</v>
      </c>
      <c r="R20" s="2">
        <v>9.3</v>
      </c>
      <c r="S20" s="2">
        <v>39.03</v>
      </c>
      <c r="T20" s="2">
        <v>20</v>
      </c>
      <c r="U20" s="4">
        <v>23</v>
      </c>
      <c r="V20" s="4">
        <v>1</v>
      </c>
    </row>
    <row r="21" ht="13.9" spans="1:22">
      <c r="A21" s="1" t="s">
        <v>60</v>
      </c>
      <c r="B21" s="2" t="s">
        <v>41</v>
      </c>
      <c r="C21" s="2">
        <v>75</v>
      </c>
      <c r="D21" s="9" t="s">
        <v>61</v>
      </c>
      <c r="E21" s="4" t="s">
        <v>29</v>
      </c>
      <c r="F21" s="4" t="s">
        <v>29</v>
      </c>
      <c r="G21" s="4" t="s">
        <v>29</v>
      </c>
      <c r="H21" s="2">
        <v>9.75</v>
      </c>
      <c r="I21" s="2">
        <v>40.86</v>
      </c>
      <c r="J21" s="2">
        <v>28.05</v>
      </c>
      <c r="K21" s="2">
        <v>7.55</v>
      </c>
      <c r="L21" s="2">
        <v>36</v>
      </c>
      <c r="M21" s="4">
        <f t="shared" si="0"/>
        <v>27.0833333333333</v>
      </c>
      <c r="N21" s="4">
        <f t="shared" si="1"/>
        <v>0.347593582887701</v>
      </c>
      <c r="O21" s="4">
        <f t="shared" si="2"/>
        <v>1.29139072847682</v>
      </c>
      <c r="P21" s="2">
        <v>21.2</v>
      </c>
      <c r="Q21" s="2">
        <v>1.7</v>
      </c>
      <c r="R21" s="2">
        <v>9.9</v>
      </c>
      <c r="S21" s="2">
        <v>41.54</v>
      </c>
      <c r="T21" s="2">
        <v>29</v>
      </c>
      <c r="U21" s="4">
        <v>23</v>
      </c>
      <c r="V21" s="4">
        <v>1</v>
      </c>
    </row>
    <row r="22" ht="13.9" spans="1:22">
      <c r="A22" s="1" t="s">
        <v>60</v>
      </c>
      <c r="B22" s="2" t="s">
        <v>41</v>
      </c>
      <c r="C22" s="2">
        <v>75</v>
      </c>
      <c r="D22" s="9" t="s">
        <v>61</v>
      </c>
      <c r="E22" s="4" t="s">
        <v>29</v>
      </c>
      <c r="F22" s="4" t="s">
        <v>29</v>
      </c>
      <c r="G22" s="4" t="s">
        <v>29</v>
      </c>
      <c r="H22" s="2">
        <v>21.45</v>
      </c>
      <c r="I22" s="2">
        <v>25.48</v>
      </c>
      <c r="J22" s="2">
        <v>20.22</v>
      </c>
      <c r="K22" s="2">
        <v>0.46</v>
      </c>
      <c r="L22" s="2">
        <v>37</v>
      </c>
      <c r="M22" s="4">
        <f t="shared" si="0"/>
        <v>57.972972972973</v>
      </c>
      <c r="N22" s="4">
        <f t="shared" si="1"/>
        <v>1.06083086053412</v>
      </c>
      <c r="O22" s="4">
        <f t="shared" si="2"/>
        <v>46.6304347826087</v>
      </c>
      <c r="P22" s="2">
        <v>18.1</v>
      </c>
      <c r="Q22" s="2">
        <v>2.49</v>
      </c>
      <c r="R22" s="2">
        <v>5.15</v>
      </c>
      <c r="S22" s="2">
        <v>20.18</v>
      </c>
      <c r="T22" s="2">
        <v>41</v>
      </c>
      <c r="U22" s="4">
        <v>23</v>
      </c>
      <c r="V22" s="4">
        <v>1</v>
      </c>
    </row>
    <row r="23" ht="13.9" spans="1:22">
      <c r="A23" s="1" t="s">
        <v>60</v>
      </c>
      <c r="B23" s="2" t="s">
        <v>41</v>
      </c>
      <c r="C23" s="2">
        <v>75</v>
      </c>
      <c r="D23" s="9" t="s">
        <v>61</v>
      </c>
      <c r="E23" s="4" t="s">
        <v>29</v>
      </c>
      <c r="F23" s="4" t="s">
        <v>29</v>
      </c>
      <c r="G23" s="4" t="s">
        <v>29</v>
      </c>
      <c r="H23" s="2">
        <v>21.95</v>
      </c>
      <c r="I23" s="2">
        <v>24.79</v>
      </c>
      <c r="J23" s="2">
        <v>19.06</v>
      </c>
      <c r="K23" s="2">
        <v>1.08</v>
      </c>
      <c r="L23" s="2"/>
      <c r="M23" s="4" t="e">
        <f t="shared" si="0"/>
        <v>#DIV/0!</v>
      </c>
      <c r="N23" s="4">
        <f t="shared" si="1"/>
        <v>1.15162644281217</v>
      </c>
      <c r="O23" s="4">
        <f t="shared" si="2"/>
        <v>20.3240740740741</v>
      </c>
      <c r="P23" s="2">
        <v>24.6</v>
      </c>
      <c r="Q23" s="2">
        <v>3.2</v>
      </c>
      <c r="R23" s="2">
        <v>15.01</v>
      </c>
      <c r="S23" s="2"/>
      <c r="T23" s="2">
        <v>63</v>
      </c>
      <c r="U23" s="4">
        <v>23</v>
      </c>
      <c r="V23" s="4">
        <v>1</v>
      </c>
    </row>
    <row r="24" ht="13.9" spans="1:22">
      <c r="A24" s="1" t="s">
        <v>62</v>
      </c>
      <c r="B24" s="2" t="s">
        <v>41</v>
      </c>
      <c r="C24" s="2">
        <v>16</v>
      </c>
      <c r="D24" s="9" t="s">
        <v>61</v>
      </c>
      <c r="E24" s="4" t="s">
        <v>24</v>
      </c>
      <c r="F24" s="4" t="s">
        <v>25</v>
      </c>
      <c r="G24" s="4" t="s">
        <v>25</v>
      </c>
      <c r="H24" s="2">
        <v>65.02</v>
      </c>
      <c r="I24" s="2">
        <v>22.42</v>
      </c>
      <c r="J24" s="2">
        <v>17.67</v>
      </c>
      <c r="K24" s="2">
        <v>1.79</v>
      </c>
      <c r="L24" s="2"/>
      <c r="M24" s="4" t="e">
        <f t="shared" si="0"/>
        <v>#DIV/0!</v>
      </c>
      <c r="N24" s="4">
        <f t="shared" si="1"/>
        <v>3.6796830786644</v>
      </c>
      <c r="O24" s="4">
        <f t="shared" si="2"/>
        <v>36.3240223463687</v>
      </c>
      <c r="P24" s="2">
        <v>12.9</v>
      </c>
      <c r="Q24" s="2">
        <v>9.91</v>
      </c>
      <c r="R24" s="2">
        <v>5.09</v>
      </c>
      <c r="S24" s="2"/>
      <c r="T24" s="2">
        <v>199</v>
      </c>
      <c r="U24" s="4">
        <v>14</v>
      </c>
      <c r="V24" s="4">
        <v>1</v>
      </c>
    </row>
    <row r="25" spans="1:22">
      <c r="A25" s="1" t="s">
        <v>63</v>
      </c>
      <c r="B25" s="2" t="s">
        <v>41</v>
      </c>
      <c r="C25" s="2">
        <v>70</v>
      </c>
      <c r="D25" s="9" t="s">
        <v>42</v>
      </c>
      <c r="E25" s="4" t="s">
        <v>29</v>
      </c>
      <c r="F25" s="4" t="s">
        <v>29</v>
      </c>
      <c r="G25" s="4" t="s">
        <v>29</v>
      </c>
      <c r="H25" s="2">
        <v>378.56</v>
      </c>
      <c r="I25" s="2">
        <v>59</v>
      </c>
      <c r="J25" s="2">
        <v>46.3</v>
      </c>
      <c r="K25" s="2">
        <v>2.83</v>
      </c>
      <c r="L25" s="2">
        <v>44</v>
      </c>
      <c r="M25" s="4">
        <f t="shared" si="0"/>
        <v>860.363636363636</v>
      </c>
      <c r="N25" s="4">
        <f t="shared" si="1"/>
        <v>8.17624190064795</v>
      </c>
      <c r="O25" s="4">
        <f t="shared" si="2"/>
        <v>133.766784452297</v>
      </c>
      <c r="P25" s="2">
        <v>22</v>
      </c>
      <c r="Q25" s="2">
        <v>1.19</v>
      </c>
      <c r="R25" s="2">
        <v>14.21</v>
      </c>
      <c r="S25" s="2">
        <v>67.22</v>
      </c>
      <c r="T25" s="2">
        <v>24</v>
      </c>
      <c r="U25" s="4">
        <v>3</v>
      </c>
      <c r="V25" s="4">
        <v>1</v>
      </c>
    </row>
    <row r="26" spans="1:22">
      <c r="A26" s="1" t="s">
        <v>64</v>
      </c>
      <c r="B26" s="2" t="s">
        <v>41</v>
      </c>
      <c r="C26" s="2">
        <v>72</v>
      </c>
      <c r="D26" s="9" t="s">
        <v>42</v>
      </c>
      <c r="E26" s="4" t="s">
        <v>29</v>
      </c>
      <c r="F26" s="4" t="s">
        <v>29</v>
      </c>
      <c r="G26" s="4" t="s">
        <v>29</v>
      </c>
      <c r="H26" s="2">
        <v>17.16</v>
      </c>
      <c r="I26" s="2">
        <v>25.54</v>
      </c>
      <c r="J26" s="2">
        <v>11.77</v>
      </c>
      <c r="K26" s="2">
        <v>7.58</v>
      </c>
      <c r="L26" s="2">
        <v>65</v>
      </c>
      <c r="M26" s="4">
        <f t="shared" si="0"/>
        <v>26.4</v>
      </c>
      <c r="N26" s="4">
        <f t="shared" si="1"/>
        <v>1.45794392523365</v>
      </c>
      <c r="O26" s="4">
        <f t="shared" si="2"/>
        <v>2.26385224274406</v>
      </c>
      <c r="P26" s="2">
        <v>24.7</v>
      </c>
      <c r="Q26" s="2">
        <v>3.43</v>
      </c>
      <c r="R26" s="2">
        <v>6.43</v>
      </c>
      <c r="S26" s="2">
        <v>23.45</v>
      </c>
      <c r="T26" s="2">
        <v>76</v>
      </c>
      <c r="U26" s="4">
        <v>23</v>
      </c>
      <c r="V26" s="4">
        <v>1</v>
      </c>
    </row>
    <row r="27" spans="1:22">
      <c r="A27" s="1" t="s">
        <v>64</v>
      </c>
      <c r="B27" s="2" t="s">
        <v>41</v>
      </c>
      <c r="C27" s="2">
        <v>72</v>
      </c>
      <c r="D27" s="9" t="s">
        <v>42</v>
      </c>
      <c r="E27" s="4" t="s">
        <v>29</v>
      </c>
      <c r="F27" s="4" t="s">
        <v>29</v>
      </c>
      <c r="G27" s="4" t="s">
        <v>29</v>
      </c>
      <c r="H27" s="2">
        <v>2.89</v>
      </c>
      <c r="I27" s="2">
        <v>29.83</v>
      </c>
      <c r="J27" s="2">
        <v>13.22</v>
      </c>
      <c r="K27" s="2">
        <v>0.83</v>
      </c>
      <c r="L27" s="2">
        <v>71</v>
      </c>
      <c r="M27" s="4">
        <f t="shared" si="0"/>
        <v>4.07042253521127</v>
      </c>
      <c r="N27" s="4">
        <f t="shared" si="1"/>
        <v>0.218608169440242</v>
      </c>
      <c r="O27" s="4">
        <f t="shared" si="2"/>
        <v>3.48192771084337</v>
      </c>
      <c r="P27" s="2">
        <v>24.9</v>
      </c>
      <c r="Q27" s="2">
        <v>7.44</v>
      </c>
      <c r="R27" s="2">
        <v>8.03</v>
      </c>
      <c r="S27" s="2">
        <v>39.82</v>
      </c>
      <c r="T27" s="2">
        <v>270</v>
      </c>
      <c r="U27" s="4">
        <v>23</v>
      </c>
      <c r="V27" s="4">
        <v>1</v>
      </c>
    </row>
    <row r="28" spans="1:22">
      <c r="A28" s="1" t="s">
        <v>64</v>
      </c>
      <c r="B28" s="2" t="s">
        <v>41</v>
      </c>
      <c r="C28" s="2">
        <v>72</v>
      </c>
      <c r="D28" s="9" t="s">
        <v>42</v>
      </c>
      <c r="E28" s="4" t="s">
        <v>24</v>
      </c>
      <c r="F28" s="4" t="s">
        <v>31</v>
      </c>
      <c r="G28" s="2" t="s">
        <v>32</v>
      </c>
      <c r="H28" s="2">
        <v>14.67</v>
      </c>
      <c r="I28" s="2">
        <v>25.97</v>
      </c>
      <c r="J28" s="2">
        <v>13.59</v>
      </c>
      <c r="K28" s="2">
        <v>10.6</v>
      </c>
      <c r="L28" s="2">
        <v>88</v>
      </c>
      <c r="M28" s="4">
        <f t="shared" si="0"/>
        <v>16.6704545454545</v>
      </c>
      <c r="N28" s="4">
        <f t="shared" si="1"/>
        <v>1.0794701986755</v>
      </c>
      <c r="O28" s="4">
        <f t="shared" si="2"/>
        <v>1.38396226415094</v>
      </c>
      <c r="P28" s="2">
        <v>17.2</v>
      </c>
      <c r="Q28" s="2">
        <v>2.03</v>
      </c>
      <c r="R28" s="2">
        <v>20</v>
      </c>
      <c r="S28" s="2">
        <v>117.66</v>
      </c>
      <c r="T28" s="2">
        <v>71</v>
      </c>
      <c r="U28" s="4">
        <v>23</v>
      </c>
      <c r="V28" s="4">
        <v>1</v>
      </c>
    </row>
    <row r="29" spans="1:22">
      <c r="A29" s="1" t="s">
        <v>64</v>
      </c>
      <c r="B29" s="2" t="s">
        <v>41</v>
      </c>
      <c r="C29" s="2">
        <v>72</v>
      </c>
      <c r="D29" s="9" t="s">
        <v>42</v>
      </c>
      <c r="E29" s="4" t="s">
        <v>24</v>
      </c>
      <c r="F29" s="4" t="s">
        <v>31</v>
      </c>
      <c r="G29" s="2" t="s">
        <v>32</v>
      </c>
      <c r="H29" s="2">
        <v>11.2</v>
      </c>
      <c r="I29" s="2">
        <v>32.31</v>
      </c>
      <c r="J29" s="2">
        <v>14.78</v>
      </c>
      <c r="K29" s="2">
        <v>19.26</v>
      </c>
      <c r="L29" s="2">
        <v>92</v>
      </c>
      <c r="M29" s="4">
        <f t="shared" si="0"/>
        <v>12.1739130434783</v>
      </c>
      <c r="N29" s="4">
        <f t="shared" si="1"/>
        <v>0.757780784844384</v>
      </c>
      <c r="O29" s="4">
        <f t="shared" si="2"/>
        <v>0.581516095534787</v>
      </c>
      <c r="P29" s="2">
        <v>17.5</v>
      </c>
      <c r="Q29" s="2">
        <v>4.7</v>
      </c>
      <c r="R29" s="2">
        <v>20</v>
      </c>
      <c r="S29" s="2">
        <v>150</v>
      </c>
      <c r="T29" s="2">
        <v>154</v>
      </c>
      <c r="U29" s="4">
        <v>23</v>
      </c>
      <c r="V29" s="4">
        <v>1</v>
      </c>
    </row>
    <row r="30" spans="1:22">
      <c r="A30" s="1" t="s">
        <v>65</v>
      </c>
      <c r="B30" s="2" t="s">
        <v>45</v>
      </c>
      <c r="C30" s="2">
        <v>61</v>
      </c>
      <c r="D30" s="9" t="s">
        <v>42</v>
      </c>
      <c r="E30" s="4" t="s">
        <v>24</v>
      </c>
      <c r="F30" s="4" t="s">
        <v>25</v>
      </c>
      <c r="G30" s="4" t="s">
        <v>25</v>
      </c>
      <c r="H30" s="2">
        <v>2.29</v>
      </c>
      <c r="I30" s="2">
        <v>20.28</v>
      </c>
      <c r="J30" s="2">
        <v>7.08</v>
      </c>
      <c r="K30" s="2">
        <v>0.46</v>
      </c>
      <c r="L30" s="2">
        <v>69</v>
      </c>
      <c r="M30" s="4">
        <f t="shared" si="0"/>
        <v>3.31884057971014</v>
      </c>
      <c r="N30" s="4">
        <f t="shared" si="1"/>
        <v>0.323446327683616</v>
      </c>
      <c r="O30" s="4">
        <f t="shared" si="2"/>
        <v>4.97826086956522</v>
      </c>
      <c r="P30" s="2">
        <v>24</v>
      </c>
      <c r="Q30" s="2">
        <v>5.99</v>
      </c>
      <c r="R30" s="2">
        <v>1.67</v>
      </c>
      <c r="S30" s="2">
        <v>5.18</v>
      </c>
      <c r="T30" s="2">
        <v>159</v>
      </c>
      <c r="U30" s="4">
        <v>22</v>
      </c>
      <c r="V30" s="4">
        <v>1</v>
      </c>
    </row>
    <row r="31" ht="13.9" spans="1:22">
      <c r="A31" s="1" t="s">
        <v>66</v>
      </c>
      <c r="B31" s="2" t="s">
        <v>41</v>
      </c>
      <c r="C31" s="2">
        <v>57</v>
      </c>
      <c r="D31" s="9" t="s">
        <v>61</v>
      </c>
      <c r="E31" s="4" t="s">
        <v>24</v>
      </c>
      <c r="F31" s="4" t="s">
        <v>25</v>
      </c>
      <c r="G31" s="4" t="s">
        <v>25</v>
      </c>
      <c r="H31" s="2">
        <v>11.11</v>
      </c>
      <c r="I31" s="2">
        <v>9.87</v>
      </c>
      <c r="J31" s="2">
        <v>3.16</v>
      </c>
      <c r="K31" s="2">
        <v>1.28</v>
      </c>
      <c r="L31" s="2"/>
      <c r="M31" s="4" t="e">
        <f t="shared" si="0"/>
        <v>#DIV/0!</v>
      </c>
      <c r="N31" s="4">
        <f t="shared" si="1"/>
        <v>3.51582278481013</v>
      </c>
      <c r="O31" s="4">
        <f t="shared" si="2"/>
        <v>8.6796875</v>
      </c>
      <c r="P31" s="2">
        <v>10.8</v>
      </c>
      <c r="Q31" s="2">
        <v>4.93</v>
      </c>
      <c r="R31" s="2">
        <v>3.37</v>
      </c>
      <c r="S31" s="2"/>
      <c r="T31" s="2">
        <v>82</v>
      </c>
      <c r="U31" s="4">
        <v>27</v>
      </c>
      <c r="V31" s="4">
        <v>0</v>
      </c>
    </row>
    <row r="32" spans="1:22">
      <c r="A32" s="1" t="s">
        <v>67</v>
      </c>
      <c r="B32" s="2" t="s">
        <v>41</v>
      </c>
      <c r="C32" s="2">
        <v>39</v>
      </c>
      <c r="D32" s="9" t="s">
        <v>28</v>
      </c>
      <c r="E32" s="4" t="s">
        <v>29</v>
      </c>
      <c r="F32" s="4" t="s">
        <v>29</v>
      </c>
      <c r="G32" s="4" t="s">
        <v>29</v>
      </c>
      <c r="H32" s="2">
        <v>25.66</v>
      </c>
      <c r="I32" s="2">
        <v>26.69</v>
      </c>
      <c r="J32" s="2">
        <v>24.26</v>
      </c>
      <c r="K32" s="2">
        <v>1.43</v>
      </c>
      <c r="L32" s="2"/>
      <c r="M32" s="4" t="e">
        <f t="shared" si="0"/>
        <v>#DIV/0!</v>
      </c>
      <c r="N32" s="4">
        <f t="shared" si="1"/>
        <v>1.05770816158285</v>
      </c>
      <c r="O32" s="4">
        <f t="shared" si="2"/>
        <v>17.9440559440559</v>
      </c>
      <c r="P32" s="2">
        <v>16.7</v>
      </c>
      <c r="Q32" s="2">
        <v>3.74</v>
      </c>
      <c r="R32" s="2">
        <v>5.78</v>
      </c>
      <c r="S32" s="2"/>
      <c r="T32" s="2">
        <v>39</v>
      </c>
      <c r="U32" s="4">
        <v>23</v>
      </c>
      <c r="V32" s="4">
        <v>0</v>
      </c>
    </row>
    <row r="33" spans="1:22">
      <c r="A33" s="1" t="s">
        <v>68</v>
      </c>
      <c r="B33" s="2" t="s">
        <v>41</v>
      </c>
      <c r="C33" s="2">
        <v>42</v>
      </c>
      <c r="D33" s="9" t="s">
        <v>28</v>
      </c>
      <c r="E33" s="4" t="s">
        <v>29</v>
      </c>
      <c r="F33" s="4" t="s">
        <v>29</v>
      </c>
      <c r="G33" s="4" t="s">
        <v>29</v>
      </c>
      <c r="H33" s="2">
        <v>8.52</v>
      </c>
      <c r="I33" s="2">
        <v>11.77</v>
      </c>
      <c r="J33" s="2">
        <v>51.31</v>
      </c>
      <c r="K33" s="2">
        <v>3.26</v>
      </c>
      <c r="L33" s="2"/>
      <c r="M33" s="4" t="e">
        <f t="shared" si="0"/>
        <v>#DIV/0!</v>
      </c>
      <c r="N33" s="4">
        <f t="shared" si="1"/>
        <v>0.166049503020854</v>
      </c>
      <c r="O33" s="4">
        <f t="shared" si="2"/>
        <v>2.61349693251534</v>
      </c>
      <c r="P33" s="2">
        <v>31.9</v>
      </c>
      <c r="Q33" s="2">
        <v>1.76</v>
      </c>
      <c r="R33" s="2">
        <v>16.58</v>
      </c>
      <c r="S33" s="2"/>
      <c r="T33" s="2">
        <v>72</v>
      </c>
      <c r="U33" s="4">
        <v>8</v>
      </c>
      <c r="V33" s="4">
        <v>1</v>
      </c>
    </row>
    <row r="34" spans="1:22">
      <c r="A34" s="1" t="s">
        <v>69</v>
      </c>
      <c r="B34" s="2" t="s">
        <v>45</v>
      </c>
      <c r="C34" s="2">
        <v>76</v>
      </c>
      <c r="D34" s="9" t="s">
        <v>28</v>
      </c>
      <c r="E34" s="4" t="s">
        <v>24</v>
      </c>
      <c r="F34" s="4" t="s">
        <v>25</v>
      </c>
      <c r="G34" s="4" t="s">
        <v>25</v>
      </c>
      <c r="H34" s="2">
        <v>9.05</v>
      </c>
      <c r="I34" s="2">
        <v>11.06</v>
      </c>
      <c r="J34" s="2">
        <v>7.17</v>
      </c>
      <c r="K34" s="2">
        <v>1.9</v>
      </c>
      <c r="L34" s="2">
        <v>72</v>
      </c>
      <c r="M34" s="4">
        <f t="shared" si="0"/>
        <v>12.5694444444444</v>
      </c>
      <c r="N34" s="4">
        <f t="shared" si="1"/>
        <v>1.26220362622036</v>
      </c>
      <c r="O34" s="4">
        <f t="shared" si="2"/>
        <v>4.76315789473684</v>
      </c>
      <c r="P34" s="2">
        <v>14.5</v>
      </c>
      <c r="Q34" s="2">
        <v>2.98</v>
      </c>
      <c r="R34" s="2">
        <v>4.57</v>
      </c>
      <c r="S34" s="2">
        <v>17.31</v>
      </c>
      <c r="T34" s="2">
        <v>123</v>
      </c>
      <c r="U34" s="4">
        <v>34</v>
      </c>
      <c r="V34" s="4">
        <v>0</v>
      </c>
    </row>
    <row r="35" spans="1:22">
      <c r="A35" s="1" t="s">
        <v>70</v>
      </c>
      <c r="B35" s="2" t="s">
        <v>41</v>
      </c>
      <c r="C35" s="2">
        <v>59</v>
      </c>
      <c r="D35" s="9" t="s">
        <v>42</v>
      </c>
      <c r="E35" s="4" t="s">
        <v>24</v>
      </c>
      <c r="F35" s="4" t="s">
        <v>25</v>
      </c>
      <c r="G35" s="4" t="s">
        <v>25</v>
      </c>
      <c r="H35" s="2">
        <v>16.06</v>
      </c>
      <c r="I35" s="2">
        <v>11.57</v>
      </c>
      <c r="J35" s="2">
        <v>7.51</v>
      </c>
      <c r="K35" s="2">
        <v>1.61</v>
      </c>
      <c r="L35" s="2">
        <v>111</v>
      </c>
      <c r="M35" s="4">
        <f t="shared" si="0"/>
        <v>14.4684684684685</v>
      </c>
      <c r="N35" s="4">
        <f t="shared" si="1"/>
        <v>2.13848202396804</v>
      </c>
      <c r="O35" s="4">
        <f t="shared" si="2"/>
        <v>9.9751552795031</v>
      </c>
      <c r="P35" s="2">
        <v>12</v>
      </c>
      <c r="Q35" s="2">
        <v>7.4</v>
      </c>
      <c r="R35" s="2">
        <v>6.28</v>
      </c>
      <c r="S35" s="2"/>
      <c r="T35" s="2">
        <v>226</v>
      </c>
      <c r="U35" s="4">
        <v>14</v>
      </c>
      <c r="V35" s="4">
        <v>1</v>
      </c>
    </row>
    <row r="36" spans="1:22">
      <c r="A36" s="1" t="s">
        <v>71</v>
      </c>
      <c r="B36" s="2" t="s">
        <v>41</v>
      </c>
      <c r="C36" s="2">
        <v>43</v>
      </c>
      <c r="D36" s="9" t="s">
        <v>35</v>
      </c>
      <c r="E36" s="4" t="s">
        <v>24</v>
      </c>
      <c r="F36" s="4" t="s">
        <v>25</v>
      </c>
      <c r="G36" s="4" t="s">
        <v>25</v>
      </c>
      <c r="H36" s="2">
        <v>13.37</v>
      </c>
      <c r="I36" s="2">
        <v>20.94</v>
      </c>
      <c r="J36" s="2">
        <v>20.23</v>
      </c>
      <c r="K36" s="2">
        <v>1.08</v>
      </c>
      <c r="L36" s="2">
        <v>69</v>
      </c>
      <c r="M36" s="4">
        <f t="shared" si="0"/>
        <v>19.3768115942029</v>
      </c>
      <c r="N36" s="4">
        <f t="shared" si="1"/>
        <v>0.660899653979239</v>
      </c>
      <c r="O36" s="4">
        <f t="shared" si="2"/>
        <v>12.3796296296296</v>
      </c>
      <c r="P36" s="2">
        <v>14.8</v>
      </c>
      <c r="Q36" s="2">
        <v>5.77</v>
      </c>
      <c r="R36" s="2">
        <v>10.27</v>
      </c>
      <c r="S36" s="2">
        <v>34.5</v>
      </c>
      <c r="T36" s="2">
        <v>194</v>
      </c>
      <c r="U36" s="4">
        <v>35</v>
      </c>
      <c r="V36" s="4">
        <v>0</v>
      </c>
    </row>
    <row r="37" spans="1:22">
      <c r="A37" s="1" t="s">
        <v>72</v>
      </c>
      <c r="B37" s="2" t="s">
        <v>41</v>
      </c>
      <c r="C37" s="2">
        <v>65</v>
      </c>
      <c r="D37" s="9" t="s">
        <v>28</v>
      </c>
      <c r="E37" s="4" t="s">
        <v>29</v>
      </c>
      <c r="F37" s="4" t="s">
        <v>29</v>
      </c>
      <c r="G37" s="4" t="s">
        <v>29</v>
      </c>
      <c r="H37" s="2">
        <v>8.04</v>
      </c>
      <c r="I37" s="2">
        <v>40.54</v>
      </c>
      <c r="J37" s="2">
        <v>18.4</v>
      </c>
      <c r="K37" s="2">
        <v>1.2</v>
      </c>
      <c r="L37" s="2"/>
      <c r="M37" s="4" t="e">
        <f t="shared" si="0"/>
        <v>#DIV/0!</v>
      </c>
      <c r="N37" s="4">
        <f t="shared" si="1"/>
        <v>0.43695652173913</v>
      </c>
      <c r="O37" s="4">
        <f t="shared" si="2"/>
        <v>6.7</v>
      </c>
      <c r="P37" s="2">
        <v>12.5</v>
      </c>
      <c r="Q37" s="2">
        <v>1.21</v>
      </c>
      <c r="R37" s="2">
        <v>4.57</v>
      </c>
      <c r="S37" s="2"/>
      <c r="T37" s="2">
        <v>27</v>
      </c>
      <c r="U37" s="4">
        <v>18</v>
      </c>
      <c r="V37" s="4">
        <v>1</v>
      </c>
    </row>
    <row r="38" spans="1:22">
      <c r="A38" s="1" t="s">
        <v>72</v>
      </c>
      <c r="B38" s="2" t="s">
        <v>41</v>
      </c>
      <c r="C38" s="2">
        <v>65</v>
      </c>
      <c r="D38" s="9" t="s">
        <v>28</v>
      </c>
      <c r="E38" s="4" t="s">
        <v>24</v>
      </c>
      <c r="F38" s="4" t="s">
        <v>31</v>
      </c>
      <c r="G38" s="2" t="s">
        <v>33</v>
      </c>
      <c r="H38" s="2">
        <v>5.04</v>
      </c>
      <c r="I38" s="2">
        <v>40.06</v>
      </c>
      <c r="J38" s="2">
        <v>9.7</v>
      </c>
      <c r="K38" s="2">
        <v>1.74</v>
      </c>
      <c r="L38" s="2"/>
      <c r="M38" s="4" t="e">
        <f t="shared" si="0"/>
        <v>#DIV/0!</v>
      </c>
      <c r="N38" s="4">
        <f t="shared" si="1"/>
        <v>0.519587628865979</v>
      </c>
      <c r="O38" s="4">
        <f t="shared" si="2"/>
        <v>2.89655172413793</v>
      </c>
      <c r="P38" s="2">
        <v>12.8</v>
      </c>
      <c r="Q38" s="2">
        <v>6.65</v>
      </c>
      <c r="R38" s="2">
        <v>14.39</v>
      </c>
      <c r="S38" s="2"/>
      <c r="T38" s="2">
        <v>131</v>
      </c>
      <c r="U38" s="4">
        <v>18</v>
      </c>
      <c r="V38" s="4">
        <v>1</v>
      </c>
    </row>
    <row r="39" spans="1:22">
      <c r="A39" s="1" t="s">
        <v>73</v>
      </c>
      <c r="B39" s="2" t="s">
        <v>41</v>
      </c>
      <c r="C39" s="2">
        <v>85</v>
      </c>
      <c r="D39" s="9" t="s">
        <v>28</v>
      </c>
      <c r="E39" s="4" t="s">
        <v>29</v>
      </c>
      <c r="F39" s="4" t="s">
        <v>29</v>
      </c>
      <c r="G39" s="4" t="s">
        <v>29</v>
      </c>
      <c r="H39" s="2">
        <v>68.51</v>
      </c>
      <c r="I39" s="2">
        <v>21.8</v>
      </c>
      <c r="J39" s="2">
        <v>16.71</v>
      </c>
      <c r="K39" s="2">
        <v>3.13</v>
      </c>
      <c r="L39" s="2">
        <v>32</v>
      </c>
      <c r="M39" s="4">
        <f t="shared" si="0"/>
        <v>214.09375</v>
      </c>
      <c r="N39" s="4">
        <f t="shared" si="1"/>
        <v>4.09994015559545</v>
      </c>
      <c r="O39" s="4">
        <f t="shared" si="2"/>
        <v>21.888178913738</v>
      </c>
      <c r="P39" s="2">
        <v>35.1</v>
      </c>
      <c r="Q39" s="2">
        <v>1.37</v>
      </c>
      <c r="R39" s="2">
        <v>20</v>
      </c>
      <c r="S39" s="2">
        <v>150</v>
      </c>
      <c r="T39" s="2">
        <v>40</v>
      </c>
      <c r="U39" s="4">
        <v>15</v>
      </c>
      <c r="V39" s="4">
        <v>1</v>
      </c>
    </row>
    <row r="40" spans="1:22">
      <c r="A40" s="1" t="s">
        <v>73</v>
      </c>
      <c r="B40" s="2" t="s">
        <v>41</v>
      </c>
      <c r="C40" s="2">
        <v>85</v>
      </c>
      <c r="D40" s="9" t="s">
        <v>28</v>
      </c>
      <c r="E40" s="4" t="s">
        <v>29</v>
      </c>
      <c r="F40" s="4" t="s">
        <v>29</v>
      </c>
      <c r="G40" s="4" t="s">
        <v>29</v>
      </c>
      <c r="H40" s="2">
        <v>33.41</v>
      </c>
      <c r="I40" s="2">
        <v>23.11</v>
      </c>
      <c r="J40" s="2">
        <v>20.44</v>
      </c>
      <c r="K40" s="2">
        <v>6.42</v>
      </c>
      <c r="L40" s="2">
        <v>32</v>
      </c>
      <c r="M40" s="4">
        <f t="shared" si="0"/>
        <v>104.40625</v>
      </c>
      <c r="N40" s="4">
        <f t="shared" si="1"/>
        <v>1.63454011741683</v>
      </c>
      <c r="O40" s="4">
        <f t="shared" si="2"/>
        <v>5.20404984423676</v>
      </c>
      <c r="P40" s="2">
        <v>21.6</v>
      </c>
      <c r="Q40" s="2">
        <v>1.6</v>
      </c>
      <c r="R40" s="2">
        <v>20</v>
      </c>
      <c r="S40" s="2">
        <v>150</v>
      </c>
      <c r="T40" s="2">
        <v>20</v>
      </c>
      <c r="U40" s="4">
        <v>15</v>
      </c>
      <c r="V40" s="4">
        <v>1</v>
      </c>
    </row>
    <row r="41" spans="1:22">
      <c r="A41" s="1" t="s">
        <v>73</v>
      </c>
      <c r="B41" s="2" t="s">
        <v>41</v>
      </c>
      <c r="C41" s="2">
        <v>85</v>
      </c>
      <c r="D41" s="9" t="s">
        <v>28</v>
      </c>
      <c r="E41" s="4" t="s">
        <v>29</v>
      </c>
      <c r="F41" s="4" t="s">
        <v>29</v>
      </c>
      <c r="G41" s="4" t="s">
        <v>29</v>
      </c>
      <c r="H41" s="2">
        <v>8.52</v>
      </c>
      <c r="I41" s="2">
        <v>18.41</v>
      </c>
      <c r="J41" s="2">
        <v>17.51</v>
      </c>
      <c r="K41" s="2">
        <v>1.51</v>
      </c>
      <c r="L41" s="2">
        <v>37</v>
      </c>
      <c r="M41" s="4">
        <f t="shared" si="0"/>
        <v>23.027027027027</v>
      </c>
      <c r="N41" s="4">
        <f t="shared" si="1"/>
        <v>0.486579097658481</v>
      </c>
      <c r="O41" s="4">
        <f t="shared" si="2"/>
        <v>5.64238410596026</v>
      </c>
      <c r="P41" s="2">
        <v>20.1</v>
      </c>
      <c r="Q41" s="2">
        <v>2.74</v>
      </c>
      <c r="R41" s="2">
        <v>18.35</v>
      </c>
      <c r="S41" s="2">
        <v>83.37</v>
      </c>
      <c r="T41" s="2">
        <v>58</v>
      </c>
      <c r="U41" s="4">
        <v>15</v>
      </c>
      <c r="V41" s="4">
        <v>1</v>
      </c>
    </row>
    <row r="42" spans="1:22">
      <c r="A42" s="1" t="s">
        <v>73</v>
      </c>
      <c r="B42" s="2" t="s">
        <v>41</v>
      </c>
      <c r="C42" s="2">
        <v>85</v>
      </c>
      <c r="D42" s="9" t="s">
        <v>28</v>
      </c>
      <c r="E42" s="4" t="s">
        <v>29</v>
      </c>
      <c r="F42" s="4" t="s">
        <v>29</v>
      </c>
      <c r="G42" s="4" t="s">
        <v>29</v>
      </c>
      <c r="H42" s="2">
        <v>82</v>
      </c>
      <c r="I42" s="2">
        <v>37.22</v>
      </c>
      <c r="J42" s="2">
        <v>8.41</v>
      </c>
      <c r="K42" s="2">
        <v>7.62</v>
      </c>
      <c r="L42" s="2">
        <v>39</v>
      </c>
      <c r="M42" s="4">
        <f t="shared" si="0"/>
        <v>210.25641025641</v>
      </c>
      <c r="N42" s="4">
        <f t="shared" si="1"/>
        <v>9.75029726516052</v>
      </c>
      <c r="O42" s="4">
        <f t="shared" si="2"/>
        <v>10.761154855643</v>
      </c>
      <c r="P42" s="2">
        <v>29.2</v>
      </c>
      <c r="Q42" s="2">
        <v>1.82</v>
      </c>
      <c r="R42" s="2">
        <v>20</v>
      </c>
      <c r="S42" s="2">
        <v>150</v>
      </c>
      <c r="T42" s="2">
        <v>23</v>
      </c>
      <c r="U42" s="4">
        <v>15</v>
      </c>
      <c r="V42" s="4">
        <v>1</v>
      </c>
    </row>
    <row r="43" spans="1:22">
      <c r="A43" s="1" t="s">
        <v>73</v>
      </c>
      <c r="B43" s="2" t="s">
        <v>41</v>
      </c>
      <c r="C43" s="2">
        <v>85</v>
      </c>
      <c r="D43" s="9" t="s">
        <v>28</v>
      </c>
      <c r="E43" s="4" t="s">
        <v>29</v>
      </c>
      <c r="F43" s="4" t="s">
        <v>29</v>
      </c>
      <c r="G43" s="4" t="s">
        <v>29</v>
      </c>
      <c r="H43" s="2">
        <v>78.09</v>
      </c>
      <c r="I43" s="2">
        <v>39.63</v>
      </c>
      <c r="J43" s="2">
        <v>10.97</v>
      </c>
      <c r="K43" s="2">
        <v>8.57</v>
      </c>
      <c r="L43" s="2">
        <v>45</v>
      </c>
      <c r="M43" s="4">
        <f t="shared" si="0"/>
        <v>173.533333333333</v>
      </c>
      <c r="N43" s="4">
        <f t="shared" si="1"/>
        <v>7.11850501367365</v>
      </c>
      <c r="O43" s="4">
        <f t="shared" si="2"/>
        <v>9.1120186697783</v>
      </c>
      <c r="P43" s="2">
        <v>23.7</v>
      </c>
      <c r="Q43" s="2">
        <v>1.63</v>
      </c>
      <c r="R43" s="2">
        <v>20</v>
      </c>
      <c r="S43" s="2">
        <v>150</v>
      </c>
      <c r="T43" s="2">
        <v>20</v>
      </c>
      <c r="U43" s="4">
        <v>15</v>
      </c>
      <c r="V43" s="4">
        <v>1</v>
      </c>
    </row>
    <row r="44" spans="1:22">
      <c r="A44" s="1" t="s">
        <v>74</v>
      </c>
      <c r="B44" s="2" t="s">
        <v>41</v>
      </c>
      <c r="C44" s="2">
        <v>57</v>
      </c>
      <c r="D44" s="9" t="s">
        <v>42</v>
      </c>
      <c r="E44" s="4" t="s">
        <v>29</v>
      </c>
      <c r="F44" s="4" t="s">
        <v>29</v>
      </c>
      <c r="G44" s="4" t="s">
        <v>29</v>
      </c>
      <c r="H44" s="2">
        <v>521.4</v>
      </c>
      <c r="I44" s="2">
        <v>125.72</v>
      </c>
      <c r="J44" s="2">
        <v>291.1</v>
      </c>
      <c r="K44" s="2">
        <v>16.79</v>
      </c>
      <c r="L44" s="2">
        <v>26</v>
      </c>
      <c r="M44" s="4">
        <f t="shared" si="0"/>
        <v>2005.38461538462</v>
      </c>
      <c r="N44" s="4">
        <f t="shared" si="1"/>
        <v>1.79113706630024</v>
      </c>
      <c r="O44" s="4">
        <f t="shared" si="2"/>
        <v>31.0541989279333</v>
      </c>
      <c r="P44" s="2">
        <v>39.5</v>
      </c>
      <c r="Q44" s="2">
        <v>0.6</v>
      </c>
      <c r="R44" s="2">
        <v>2.75</v>
      </c>
      <c r="S44" s="2">
        <v>150</v>
      </c>
      <c r="T44" s="2">
        <v>142</v>
      </c>
      <c r="U44" s="4">
        <v>1</v>
      </c>
      <c r="V44" s="4">
        <v>1</v>
      </c>
    </row>
    <row r="45" spans="1:22">
      <c r="A45" s="1" t="s">
        <v>75</v>
      </c>
      <c r="B45" s="2" t="s">
        <v>41</v>
      </c>
      <c r="C45" s="2">
        <v>55</v>
      </c>
      <c r="D45" s="9" t="s">
        <v>42</v>
      </c>
      <c r="E45" s="4" t="s">
        <v>24</v>
      </c>
      <c r="F45" s="4" t="s">
        <v>31</v>
      </c>
      <c r="G45" s="2" t="s">
        <v>33</v>
      </c>
      <c r="H45" s="2">
        <v>13.11</v>
      </c>
      <c r="I45" s="2">
        <v>14.98</v>
      </c>
      <c r="J45" s="2">
        <v>8.99</v>
      </c>
      <c r="K45" s="2">
        <v>1.43</v>
      </c>
      <c r="L45" s="2">
        <v>68</v>
      </c>
      <c r="M45" s="4">
        <f t="shared" si="0"/>
        <v>19.2794117647059</v>
      </c>
      <c r="N45" s="4">
        <f t="shared" si="1"/>
        <v>1.45828698553949</v>
      </c>
      <c r="O45" s="4">
        <f t="shared" si="2"/>
        <v>9.16783216783217</v>
      </c>
      <c r="P45" s="2">
        <v>14.2</v>
      </c>
      <c r="Q45" s="2">
        <v>5.41</v>
      </c>
      <c r="R45" s="2">
        <v>8.67</v>
      </c>
      <c r="S45" s="2">
        <v>31.37</v>
      </c>
      <c r="T45" s="2">
        <v>89</v>
      </c>
      <c r="U45" s="4">
        <v>36</v>
      </c>
      <c r="V45" s="4">
        <v>0</v>
      </c>
    </row>
    <row r="46" spans="1:22">
      <c r="A46" s="1" t="s">
        <v>75</v>
      </c>
      <c r="B46" s="2" t="s">
        <v>41</v>
      </c>
      <c r="C46" s="2">
        <v>55</v>
      </c>
      <c r="D46" s="9" t="s">
        <v>42</v>
      </c>
      <c r="E46" s="4" t="s">
        <v>24</v>
      </c>
      <c r="F46" s="4" t="s">
        <v>25</v>
      </c>
      <c r="G46" s="4" t="s">
        <v>25</v>
      </c>
      <c r="H46" s="2">
        <v>13.08</v>
      </c>
      <c r="I46" s="2">
        <v>16.9</v>
      </c>
      <c r="J46" s="2">
        <v>6.91</v>
      </c>
      <c r="K46" s="2">
        <v>1.57</v>
      </c>
      <c r="L46" s="2">
        <v>75</v>
      </c>
      <c r="M46" s="4">
        <f t="shared" si="0"/>
        <v>17.44</v>
      </c>
      <c r="N46" s="4">
        <f t="shared" si="1"/>
        <v>1.89290882778582</v>
      </c>
      <c r="O46" s="4">
        <f t="shared" si="2"/>
        <v>8.3312101910828</v>
      </c>
      <c r="P46" s="2">
        <v>14</v>
      </c>
      <c r="Q46" s="2">
        <v>5.3</v>
      </c>
      <c r="R46" s="2">
        <v>7.83</v>
      </c>
      <c r="S46" s="2">
        <v>26.97</v>
      </c>
      <c r="T46" s="2">
        <v>102</v>
      </c>
      <c r="U46" s="4">
        <v>36</v>
      </c>
      <c r="V46" s="4">
        <v>0</v>
      </c>
    </row>
    <row r="47" spans="1:22">
      <c r="A47" s="1" t="s">
        <v>75</v>
      </c>
      <c r="B47" s="2" t="s">
        <v>41</v>
      </c>
      <c r="C47" s="2">
        <v>55</v>
      </c>
      <c r="D47" s="9" t="s">
        <v>42</v>
      </c>
      <c r="E47" s="4" t="s">
        <v>24</v>
      </c>
      <c r="F47" s="4" t="s">
        <v>25</v>
      </c>
      <c r="G47" s="4" t="s">
        <v>25</v>
      </c>
      <c r="H47" s="2">
        <v>27.51</v>
      </c>
      <c r="I47" s="2">
        <v>15.1</v>
      </c>
      <c r="J47" s="2">
        <v>8.93</v>
      </c>
      <c r="K47" s="2">
        <v>4.47</v>
      </c>
      <c r="L47" s="2">
        <v>97</v>
      </c>
      <c r="M47" s="4">
        <f t="shared" si="0"/>
        <v>28.360824742268</v>
      </c>
      <c r="N47" s="4">
        <f t="shared" si="1"/>
        <v>3.08062709966405</v>
      </c>
      <c r="O47" s="4">
        <f t="shared" si="2"/>
        <v>6.15436241610738</v>
      </c>
      <c r="P47" s="2">
        <v>13.9</v>
      </c>
      <c r="Q47" s="2">
        <v>4.21</v>
      </c>
      <c r="R47" s="2">
        <v>8.61</v>
      </c>
      <c r="S47" s="2">
        <v>31.86</v>
      </c>
      <c r="T47" s="2">
        <v>245</v>
      </c>
      <c r="U47" s="4">
        <v>36</v>
      </c>
      <c r="V47" s="4">
        <v>0</v>
      </c>
    </row>
    <row r="48" spans="1:22">
      <c r="A48" s="1" t="s">
        <v>76</v>
      </c>
      <c r="B48" s="2" t="s">
        <v>45</v>
      </c>
      <c r="C48" s="2">
        <v>62</v>
      </c>
      <c r="D48" s="9" t="s">
        <v>28</v>
      </c>
      <c r="E48" s="4" t="s">
        <v>24</v>
      </c>
      <c r="F48" s="4" t="s">
        <v>25</v>
      </c>
      <c r="G48" s="4" t="s">
        <v>25</v>
      </c>
      <c r="H48" s="2">
        <v>3.58</v>
      </c>
      <c r="I48" s="2">
        <v>10.87</v>
      </c>
      <c r="J48" s="2">
        <v>24.54</v>
      </c>
      <c r="K48" s="2">
        <v>0.52</v>
      </c>
      <c r="L48" s="2">
        <v>104</v>
      </c>
      <c r="M48" s="4">
        <f t="shared" si="0"/>
        <v>3.44230769230769</v>
      </c>
      <c r="N48" s="4">
        <f t="shared" si="1"/>
        <v>0.145884270578647</v>
      </c>
      <c r="O48" s="4">
        <f t="shared" si="2"/>
        <v>6.88461538461538</v>
      </c>
      <c r="P48" s="2">
        <v>14</v>
      </c>
      <c r="Q48" s="2">
        <v>5.7</v>
      </c>
      <c r="R48" s="2">
        <v>0.7</v>
      </c>
      <c r="S48" s="2">
        <v>2.57</v>
      </c>
      <c r="T48" s="2">
        <v>319</v>
      </c>
      <c r="U48" s="4">
        <v>43</v>
      </c>
      <c r="V48" s="4">
        <v>0</v>
      </c>
    </row>
    <row r="49" spans="1:22">
      <c r="A49" s="1" t="s">
        <v>77</v>
      </c>
      <c r="B49" s="2" t="s">
        <v>41</v>
      </c>
      <c r="C49" s="2">
        <v>52</v>
      </c>
      <c r="D49" s="9" t="s">
        <v>28</v>
      </c>
      <c r="E49" s="4" t="s">
        <v>29</v>
      </c>
      <c r="F49" s="4" t="s">
        <v>29</v>
      </c>
      <c r="G49" s="4" t="s">
        <v>29</v>
      </c>
      <c r="H49" s="2">
        <v>18.18</v>
      </c>
      <c r="I49" s="2">
        <v>14.46</v>
      </c>
      <c r="J49" s="2">
        <v>12.95</v>
      </c>
      <c r="K49" s="2">
        <v>6.07</v>
      </c>
      <c r="L49" s="2">
        <v>42</v>
      </c>
      <c r="M49" s="4">
        <f t="shared" si="0"/>
        <v>43.2857142857143</v>
      </c>
      <c r="N49" s="4">
        <f t="shared" si="1"/>
        <v>1.403861003861</v>
      </c>
      <c r="O49" s="4">
        <f t="shared" si="2"/>
        <v>2.99505766062603</v>
      </c>
      <c r="P49" s="2">
        <v>22.9</v>
      </c>
      <c r="Q49" s="2">
        <v>2.63</v>
      </c>
      <c r="R49" s="2">
        <v>4.62</v>
      </c>
      <c r="S49" s="2">
        <v>18.94</v>
      </c>
      <c r="T49" s="2">
        <v>22</v>
      </c>
      <c r="U49" s="4">
        <v>13</v>
      </c>
      <c r="V49" s="4">
        <v>0</v>
      </c>
    </row>
    <row r="50" spans="1:22">
      <c r="A50" s="1" t="s">
        <v>77</v>
      </c>
      <c r="B50" s="2" t="s">
        <v>41</v>
      </c>
      <c r="C50" s="2">
        <v>52</v>
      </c>
      <c r="D50" s="9" t="s">
        <v>28</v>
      </c>
      <c r="E50" s="4" t="s">
        <v>24</v>
      </c>
      <c r="F50" s="4" t="s">
        <v>25</v>
      </c>
      <c r="G50" s="4" t="s">
        <v>25</v>
      </c>
      <c r="H50" s="2">
        <v>12.62</v>
      </c>
      <c r="I50" s="2">
        <v>13.98</v>
      </c>
      <c r="J50" s="2">
        <v>4.65</v>
      </c>
      <c r="K50" s="2">
        <v>2.15</v>
      </c>
      <c r="L50" s="2">
        <v>64</v>
      </c>
      <c r="M50" s="4">
        <f t="shared" si="0"/>
        <v>19.71875</v>
      </c>
      <c r="N50" s="4">
        <f t="shared" si="1"/>
        <v>2.71397849462366</v>
      </c>
      <c r="O50" s="4">
        <f t="shared" si="2"/>
        <v>5.86976744186047</v>
      </c>
      <c r="P50" s="2">
        <v>13.4</v>
      </c>
      <c r="Q50" s="2">
        <v>2.33</v>
      </c>
      <c r="R50" s="2">
        <v>8.44</v>
      </c>
      <c r="S50" s="2">
        <v>20.91</v>
      </c>
      <c r="T50" s="2">
        <v>52</v>
      </c>
      <c r="U50" s="4">
        <v>13</v>
      </c>
      <c r="V50" s="4">
        <v>0</v>
      </c>
    </row>
    <row r="51" spans="1:22">
      <c r="A51" s="1" t="s">
        <v>78</v>
      </c>
      <c r="B51" s="2" t="s">
        <v>45</v>
      </c>
      <c r="C51" s="2">
        <v>71</v>
      </c>
      <c r="D51" s="9" t="s">
        <v>28</v>
      </c>
      <c r="E51" s="4" t="s">
        <v>29</v>
      </c>
      <c r="F51" s="4" t="s">
        <v>29</v>
      </c>
      <c r="G51" s="4" t="s">
        <v>29</v>
      </c>
      <c r="H51" s="2">
        <v>71.41</v>
      </c>
      <c r="I51" s="2">
        <v>56.95</v>
      </c>
      <c r="J51" s="2">
        <v>26.44</v>
      </c>
      <c r="K51" s="2">
        <v>2.28</v>
      </c>
      <c r="L51" s="2">
        <v>49</v>
      </c>
      <c r="M51" s="4">
        <f t="shared" si="0"/>
        <v>145.734693877551</v>
      </c>
      <c r="N51" s="4">
        <f t="shared" si="1"/>
        <v>2.70083207261725</v>
      </c>
      <c r="O51" s="4">
        <f t="shared" si="2"/>
        <v>31.3201754385965</v>
      </c>
      <c r="P51" s="2">
        <v>25.2</v>
      </c>
      <c r="Q51" s="2">
        <v>1.6</v>
      </c>
      <c r="R51" s="2">
        <v>20</v>
      </c>
      <c r="S51" s="2">
        <v>150</v>
      </c>
      <c r="T51" s="2">
        <v>20</v>
      </c>
      <c r="U51" s="4">
        <v>5</v>
      </c>
      <c r="V51" s="4">
        <v>1</v>
      </c>
    </row>
    <row r="52" spans="1:22">
      <c r="A52" s="1" t="s">
        <v>78</v>
      </c>
      <c r="B52" s="2" t="s">
        <v>45</v>
      </c>
      <c r="C52" s="2">
        <v>71</v>
      </c>
      <c r="D52" s="9" t="s">
        <v>28</v>
      </c>
      <c r="E52" s="4" t="s">
        <v>29</v>
      </c>
      <c r="F52" s="4" t="s">
        <v>29</v>
      </c>
      <c r="G52" s="4" t="s">
        <v>29</v>
      </c>
      <c r="H52" s="2">
        <v>156.49</v>
      </c>
      <c r="I52" s="2">
        <v>30.36</v>
      </c>
      <c r="J52" s="2">
        <v>12.83</v>
      </c>
      <c r="K52" s="2">
        <v>4.45</v>
      </c>
      <c r="L52" s="2">
        <v>68</v>
      </c>
      <c r="M52" s="4">
        <f t="shared" si="0"/>
        <v>230.132352941176</v>
      </c>
      <c r="N52" s="4">
        <f t="shared" si="1"/>
        <v>12.1971940763835</v>
      </c>
      <c r="O52" s="4">
        <f t="shared" si="2"/>
        <v>35.1662921348315</v>
      </c>
      <c r="P52" s="2">
        <v>29.9</v>
      </c>
      <c r="Q52" s="2">
        <v>2.04</v>
      </c>
      <c r="R52" s="2">
        <v>20</v>
      </c>
      <c r="S52" s="2">
        <v>150</v>
      </c>
      <c r="T52" s="2">
        <v>94</v>
      </c>
      <c r="U52" s="4">
        <v>5</v>
      </c>
      <c r="V52" s="4">
        <v>1</v>
      </c>
    </row>
    <row r="53" spans="1:22">
      <c r="A53" s="1" t="s">
        <v>79</v>
      </c>
      <c r="B53" s="2" t="s">
        <v>41</v>
      </c>
      <c r="C53" s="2">
        <v>24</v>
      </c>
      <c r="D53" s="9" t="s">
        <v>42</v>
      </c>
      <c r="E53" s="4" t="s">
        <v>29</v>
      </c>
      <c r="F53" s="4" t="s">
        <v>29</v>
      </c>
      <c r="G53" s="4" t="s">
        <v>29</v>
      </c>
      <c r="H53" s="2">
        <v>2.37</v>
      </c>
      <c r="I53" s="2">
        <v>17.94</v>
      </c>
      <c r="J53" s="2">
        <v>8.19</v>
      </c>
      <c r="K53" s="2">
        <v>1.09</v>
      </c>
      <c r="L53" s="2">
        <v>51</v>
      </c>
      <c r="M53" s="4">
        <f t="shared" si="0"/>
        <v>4.64705882352941</v>
      </c>
      <c r="N53" s="4">
        <f t="shared" si="1"/>
        <v>0.289377289377289</v>
      </c>
      <c r="O53" s="4">
        <f t="shared" si="2"/>
        <v>2.1743119266055</v>
      </c>
      <c r="P53" s="2">
        <v>18.2</v>
      </c>
      <c r="Q53" s="2">
        <v>3.52</v>
      </c>
      <c r="R53" s="2">
        <v>20</v>
      </c>
      <c r="S53" s="2">
        <v>150</v>
      </c>
      <c r="T53" s="2">
        <v>63</v>
      </c>
      <c r="U53" s="4">
        <v>6</v>
      </c>
      <c r="V53" s="4">
        <v>1</v>
      </c>
    </row>
    <row r="54" spans="1:22">
      <c r="A54" s="1" t="s">
        <v>80</v>
      </c>
      <c r="B54" s="2" t="s">
        <v>45</v>
      </c>
      <c r="C54" s="2">
        <v>34</v>
      </c>
      <c r="D54" s="9" t="s">
        <v>28</v>
      </c>
      <c r="E54" s="4" t="s">
        <v>29</v>
      </c>
      <c r="F54" s="4" t="s">
        <v>29</v>
      </c>
      <c r="G54" s="4" t="s">
        <v>29</v>
      </c>
      <c r="H54" s="2">
        <v>43.54</v>
      </c>
      <c r="I54" s="2">
        <v>17.44</v>
      </c>
      <c r="J54" s="2">
        <v>31.12</v>
      </c>
      <c r="K54" s="2">
        <v>5.84</v>
      </c>
      <c r="L54" s="2">
        <v>13</v>
      </c>
      <c r="M54" s="4">
        <f t="shared" si="0"/>
        <v>334.923076923077</v>
      </c>
      <c r="N54" s="4">
        <f t="shared" si="1"/>
        <v>1.39910025706941</v>
      </c>
      <c r="O54" s="4">
        <f t="shared" si="2"/>
        <v>7.45547945205479</v>
      </c>
      <c r="P54" s="2">
        <v>33.2</v>
      </c>
      <c r="Q54" s="2">
        <v>0.6</v>
      </c>
      <c r="R54" s="2">
        <v>20</v>
      </c>
      <c r="S54" s="2">
        <v>150</v>
      </c>
      <c r="T54" s="2">
        <v>24</v>
      </c>
      <c r="U54" s="4">
        <v>11</v>
      </c>
      <c r="V54" s="4">
        <v>1</v>
      </c>
    </row>
    <row r="55" spans="1:22">
      <c r="A55" s="1" t="s">
        <v>80</v>
      </c>
      <c r="B55" s="2" t="s">
        <v>45</v>
      </c>
      <c r="C55" s="2">
        <v>34</v>
      </c>
      <c r="D55" s="9" t="s">
        <v>28</v>
      </c>
      <c r="E55" s="4" t="s">
        <v>29</v>
      </c>
      <c r="F55" s="4" t="s">
        <v>29</v>
      </c>
      <c r="G55" s="4" t="s">
        <v>29</v>
      </c>
      <c r="H55" s="2">
        <v>8.14</v>
      </c>
      <c r="I55" s="2">
        <v>15.13</v>
      </c>
      <c r="J55" s="2">
        <v>25.28</v>
      </c>
      <c r="K55" s="2">
        <v>1.99</v>
      </c>
      <c r="L55" s="2">
        <v>19</v>
      </c>
      <c r="M55" s="4">
        <f t="shared" si="0"/>
        <v>42.8421052631579</v>
      </c>
      <c r="N55" s="4">
        <f t="shared" si="1"/>
        <v>0.321993670886076</v>
      </c>
      <c r="O55" s="4">
        <f t="shared" si="2"/>
        <v>4.09045226130653</v>
      </c>
      <c r="P55" s="2">
        <v>30.1</v>
      </c>
      <c r="Q55" s="2">
        <v>1.54</v>
      </c>
      <c r="R55" s="2">
        <v>17.89</v>
      </c>
      <c r="S55" s="2">
        <v>75.73</v>
      </c>
      <c r="T55" s="2">
        <v>27</v>
      </c>
      <c r="U55" s="4">
        <v>11</v>
      </c>
      <c r="V55" s="4">
        <v>1</v>
      </c>
    </row>
    <row r="56" spans="1:22">
      <c r="A56" s="1" t="s">
        <v>81</v>
      </c>
      <c r="B56" s="2" t="s">
        <v>41</v>
      </c>
      <c r="C56" s="2">
        <v>67</v>
      </c>
      <c r="D56" s="9" t="s">
        <v>42</v>
      </c>
      <c r="E56" s="4" t="s">
        <v>29</v>
      </c>
      <c r="F56" s="4" t="s">
        <v>29</v>
      </c>
      <c r="G56" s="4" t="s">
        <v>29</v>
      </c>
      <c r="H56" s="2">
        <v>43.54</v>
      </c>
      <c r="I56" s="2">
        <v>16.62</v>
      </c>
      <c r="J56" s="2">
        <v>12.76</v>
      </c>
      <c r="K56" s="2">
        <v>5.79</v>
      </c>
      <c r="L56" s="2">
        <v>31</v>
      </c>
      <c r="M56" s="4">
        <f t="shared" si="0"/>
        <v>140.451612903226</v>
      </c>
      <c r="N56" s="4">
        <f t="shared" si="1"/>
        <v>3.41222570532915</v>
      </c>
      <c r="O56" s="4">
        <f t="shared" si="2"/>
        <v>7.51986183074266</v>
      </c>
      <c r="P56" s="2">
        <v>23.9</v>
      </c>
      <c r="Q56" s="2">
        <v>2.05</v>
      </c>
      <c r="R56" s="2">
        <v>20</v>
      </c>
      <c r="S56" s="2">
        <v>150</v>
      </c>
      <c r="T56" s="2">
        <v>29</v>
      </c>
      <c r="U56" s="4">
        <v>37</v>
      </c>
      <c r="V56" s="4">
        <v>1</v>
      </c>
    </row>
    <row r="57" spans="1:22">
      <c r="A57" s="1" t="s">
        <v>82</v>
      </c>
      <c r="B57" s="2" t="s">
        <v>41</v>
      </c>
      <c r="C57" s="2">
        <v>43</v>
      </c>
      <c r="D57" s="9" t="s">
        <v>35</v>
      </c>
      <c r="E57" s="4" t="s">
        <v>29</v>
      </c>
      <c r="F57" s="4" t="s">
        <v>29</v>
      </c>
      <c r="G57" s="4" t="s">
        <v>29</v>
      </c>
      <c r="H57" s="2">
        <v>39.32</v>
      </c>
      <c r="I57" s="2">
        <v>15.44</v>
      </c>
      <c r="J57" s="2">
        <v>6.02</v>
      </c>
      <c r="K57" s="2">
        <v>5.11</v>
      </c>
      <c r="L57" s="2">
        <v>43</v>
      </c>
      <c r="M57" s="4">
        <f t="shared" si="0"/>
        <v>91.4418604651163</v>
      </c>
      <c r="N57" s="4">
        <f t="shared" si="1"/>
        <v>6.53156146179402</v>
      </c>
      <c r="O57" s="4">
        <f t="shared" si="2"/>
        <v>7.69471624266145</v>
      </c>
      <c r="P57" s="2">
        <v>19</v>
      </c>
      <c r="Q57" s="2">
        <v>0.74</v>
      </c>
      <c r="R57" s="2">
        <v>20</v>
      </c>
      <c r="S57" s="2">
        <v>150</v>
      </c>
      <c r="T57" s="2">
        <v>43</v>
      </c>
      <c r="U57" s="4">
        <v>11</v>
      </c>
      <c r="V57" s="4">
        <v>0</v>
      </c>
    </row>
    <row r="58" spans="1:22">
      <c r="A58" s="1" t="s">
        <v>82</v>
      </c>
      <c r="B58" s="2" t="s">
        <v>41</v>
      </c>
      <c r="C58" s="2">
        <v>43</v>
      </c>
      <c r="D58" s="9" t="s">
        <v>35</v>
      </c>
      <c r="E58" s="4" t="s">
        <v>29</v>
      </c>
      <c r="F58" s="4" t="s">
        <v>29</v>
      </c>
      <c r="G58" s="4" t="s">
        <v>29</v>
      </c>
      <c r="H58" s="2">
        <v>58.73</v>
      </c>
      <c r="I58" s="2">
        <v>29.77</v>
      </c>
      <c r="J58" s="2">
        <v>20.43</v>
      </c>
      <c r="K58" s="2">
        <v>4.58</v>
      </c>
      <c r="L58" s="2"/>
      <c r="M58" s="4" t="e">
        <f t="shared" si="0"/>
        <v>#DIV/0!</v>
      </c>
      <c r="N58" s="4">
        <f t="shared" si="1"/>
        <v>2.87469407733725</v>
      </c>
      <c r="O58" s="4">
        <f t="shared" si="2"/>
        <v>12.8231441048035</v>
      </c>
      <c r="P58" s="2">
        <v>29.7</v>
      </c>
      <c r="Q58" s="2">
        <v>2.22</v>
      </c>
      <c r="R58" s="2">
        <v>124.08</v>
      </c>
      <c r="S58" s="2"/>
      <c r="T58" s="2">
        <v>39</v>
      </c>
      <c r="U58" s="4">
        <v>11</v>
      </c>
      <c r="V58" s="4">
        <v>0</v>
      </c>
    </row>
    <row r="59" spans="1:22">
      <c r="A59" s="1" t="s">
        <v>83</v>
      </c>
      <c r="B59" s="2" t="s">
        <v>41</v>
      </c>
      <c r="C59" s="2">
        <v>79</v>
      </c>
      <c r="D59" s="9" t="s">
        <v>42</v>
      </c>
      <c r="E59" s="4" t="s">
        <v>24</v>
      </c>
      <c r="F59" s="4" t="s">
        <v>25</v>
      </c>
      <c r="G59" s="4" t="s">
        <v>25</v>
      </c>
      <c r="H59" s="2">
        <v>18.72</v>
      </c>
      <c r="I59" s="2">
        <v>9.64</v>
      </c>
      <c r="J59" s="2">
        <v>7.81</v>
      </c>
      <c r="K59" s="2">
        <v>2.39</v>
      </c>
      <c r="L59" s="2">
        <v>85</v>
      </c>
      <c r="M59" s="4">
        <f t="shared" si="0"/>
        <v>22.0235294117647</v>
      </c>
      <c r="N59" s="4">
        <f t="shared" si="1"/>
        <v>2.39692701664533</v>
      </c>
      <c r="O59" s="4">
        <f t="shared" si="2"/>
        <v>7.8326359832636</v>
      </c>
      <c r="P59" s="2">
        <v>15.3</v>
      </c>
      <c r="Q59" s="2">
        <v>4.77</v>
      </c>
      <c r="R59" s="2">
        <v>12.86</v>
      </c>
      <c r="S59" s="2">
        <v>47.75</v>
      </c>
      <c r="T59" s="2">
        <v>267</v>
      </c>
      <c r="U59" s="4">
        <v>12</v>
      </c>
      <c r="V59" s="4">
        <v>1</v>
      </c>
    </row>
    <row r="60" spans="1:22">
      <c r="A60" s="1" t="s">
        <v>84</v>
      </c>
      <c r="B60" s="2" t="s">
        <v>45</v>
      </c>
      <c r="C60" s="2">
        <v>29</v>
      </c>
      <c r="D60" s="9" t="s">
        <v>28</v>
      </c>
      <c r="E60" s="4" t="s">
        <v>24</v>
      </c>
      <c r="F60" s="4" t="s">
        <v>25</v>
      </c>
      <c r="G60" s="4" t="s">
        <v>25</v>
      </c>
      <c r="H60" s="2">
        <v>2.63</v>
      </c>
      <c r="I60" s="2">
        <v>28.54</v>
      </c>
      <c r="J60" s="2">
        <v>13.09</v>
      </c>
      <c r="K60" s="2">
        <v>0.92</v>
      </c>
      <c r="L60" s="2">
        <v>116</v>
      </c>
      <c r="M60" s="4">
        <f t="shared" si="0"/>
        <v>2.26724137931034</v>
      </c>
      <c r="N60" s="4">
        <f t="shared" si="1"/>
        <v>0.200916730328495</v>
      </c>
      <c r="O60" s="4">
        <f t="shared" si="2"/>
        <v>2.85869565217391</v>
      </c>
      <c r="P60" s="2">
        <v>15.8</v>
      </c>
      <c r="Q60" s="2">
        <v>4.34</v>
      </c>
      <c r="R60" s="2">
        <v>3.37</v>
      </c>
      <c r="S60" s="2">
        <v>9.26</v>
      </c>
      <c r="T60" s="2">
        <v>163</v>
      </c>
      <c r="U60" s="4">
        <v>28</v>
      </c>
      <c r="V60" s="4">
        <v>0</v>
      </c>
    </row>
    <row r="61" spans="1:22">
      <c r="A61" s="1" t="s">
        <v>85</v>
      </c>
      <c r="B61" s="2" t="s">
        <v>41</v>
      </c>
      <c r="C61" s="2">
        <v>74</v>
      </c>
      <c r="D61" s="9" t="s">
        <v>42</v>
      </c>
      <c r="E61" s="4" t="s">
        <v>29</v>
      </c>
      <c r="F61" s="4" t="s">
        <v>29</v>
      </c>
      <c r="G61" s="4" t="s">
        <v>29</v>
      </c>
      <c r="H61" s="2">
        <v>54.98</v>
      </c>
      <c r="I61" s="2">
        <v>15.92</v>
      </c>
      <c r="J61" s="2">
        <v>7.62</v>
      </c>
      <c r="K61" s="2">
        <v>2.99</v>
      </c>
      <c r="L61" s="2">
        <v>71</v>
      </c>
      <c r="M61" s="4">
        <f t="shared" si="0"/>
        <v>77.4366197183099</v>
      </c>
      <c r="N61" s="4">
        <f t="shared" si="1"/>
        <v>7.21522309711286</v>
      </c>
      <c r="O61" s="4">
        <f t="shared" si="2"/>
        <v>18.3879598662207</v>
      </c>
      <c r="P61" s="2">
        <v>21.3</v>
      </c>
      <c r="Q61" s="2">
        <v>2.75</v>
      </c>
      <c r="R61" s="2">
        <v>5.61</v>
      </c>
      <c r="S61" s="2">
        <v>21.14</v>
      </c>
      <c r="T61" s="2">
        <v>36</v>
      </c>
      <c r="U61" s="4">
        <v>30</v>
      </c>
      <c r="V61" s="4">
        <v>1</v>
      </c>
    </row>
    <row r="62" spans="1:22">
      <c r="A62" s="1" t="s">
        <v>86</v>
      </c>
      <c r="B62" s="2" t="s">
        <v>41</v>
      </c>
      <c r="C62" s="2">
        <v>70</v>
      </c>
      <c r="D62" s="9" t="s">
        <v>28</v>
      </c>
      <c r="E62" s="4" t="s">
        <v>29</v>
      </c>
      <c r="F62" s="4" t="s">
        <v>29</v>
      </c>
      <c r="G62" s="4" t="s">
        <v>29</v>
      </c>
      <c r="H62" s="2">
        <v>14.3</v>
      </c>
      <c r="I62" s="2">
        <v>15.88</v>
      </c>
      <c r="J62" s="2">
        <v>11.43</v>
      </c>
      <c r="K62" s="2">
        <v>0.82</v>
      </c>
      <c r="L62" s="2">
        <v>60</v>
      </c>
      <c r="M62" s="4">
        <f t="shared" si="0"/>
        <v>23.8333333333333</v>
      </c>
      <c r="N62" s="4">
        <f t="shared" si="1"/>
        <v>1.25109361329834</v>
      </c>
      <c r="O62" s="4">
        <f t="shared" si="2"/>
        <v>17.4390243902439</v>
      </c>
      <c r="P62" s="2">
        <v>15.2</v>
      </c>
      <c r="Q62" s="2">
        <v>7.86</v>
      </c>
      <c r="R62" s="2">
        <v>4.49</v>
      </c>
      <c r="S62" s="2">
        <v>18.08</v>
      </c>
      <c r="T62" s="2">
        <v>29</v>
      </c>
      <c r="U62" s="4">
        <v>3</v>
      </c>
      <c r="V62" s="4">
        <v>1</v>
      </c>
    </row>
    <row r="63" spans="1:22">
      <c r="A63" s="1" t="s">
        <v>87</v>
      </c>
      <c r="B63" s="2" t="s">
        <v>45</v>
      </c>
      <c r="C63" s="2">
        <v>79</v>
      </c>
      <c r="D63" s="9" t="s">
        <v>28</v>
      </c>
      <c r="E63" s="4" t="s">
        <v>29</v>
      </c>
      <c r="F63" s="4" t="s">
        <v>29</v>
      </c>
      <c r="G63" s="4" t="s">
        <v>29</v>
      </c>
      <c r="H63" s="2">
        <v>25.28</v>
      </c>
      <c r="I63" s="2">
        <v>36.03</v>
      </c>
      <c r="J63" s="2">
        <v>19.78</v>
      </c>
      <c r="K63" s="2">
        <v>2.19</v>
      </c>
      <c r="L63" s="2">
        <v>38</v>
      </c>
      <c r="M63" s="4">
        <f t="shared" si="0"/>
        <v>66.5263157894737</v>
      </c>
      <c r="N63" s="4">
        <f t="shared" si="1"/>
        <v>1.27805864509606</v>
      </c>
      <c r="O63" s="4">
        <f t="shared" si="2"/>
        <v>11.5433789954338</v>
      </c>
      <c r="P63" s="2">
        <v>19.2</v>
      </c>
      <c r="Q63" s="2">
        <v>2.74</v>
      </c>
      <c r="R63" s="2">
        <v>20</v>
      </c>
      <c r="S63" s="2">
        <v>90.81</v>
      </c>
      <c r="T63" s="2">
        <v>34</v>
      </c>
      <c r="U63" s="4">
        <v>9</v>
      </c>
      <c r="V63" s="4">
        <v>1</v>
      </c>
    </row>
    <row r="64" spans="1:22">
      <c r="A64" s="1" t="s">
        <v>88</v>
      </c>
      <c r="B64" s="2" t="s">
        <v>41</v>
      </c>
      <c r="C64" s="2">
        <v>66</v>
      </c>
      <c r="D64" s="9" t="s">
        <v>28</v>
      </c>
      <c r="E64" s="4" t="s">
        <v>29</v>
      </c>
      <c r="F64" s="4" t="s">
        <v>29</v>
      </c>
      <c r="G64" s="4" t="s">
        <v>29</v>
      </c>
      <c r="H64" s="2">
        <v>75.13</v>
      </c>
      <c r="I64" s="2">
        <v>34.96</v>
      </c>
      <c r="J64" s="2">
        <v>12.12</v>
      </c>
      <c r="K64" s="2">
        <v>7.74</v>
      </c>
      <c r="L64" s="2">
        <v>38</v>
      </c>
      <c r="M64" s="4">
        <f t="shared" si="0"/>
        <v>197.710526315789</v>
      </c>
      <c r="N64" s="4">
        <f t="shared" si="1"/>
        <v>6.19884488448845</v>
      </c>
      <c r="O64" s="4">
        <f t="shared" si="2"/>
        <v>9.70671834625323</v>
      </c>
      <c r="P64" s="2">
        <v>31.7</v>
      </c>
      <c r="Q64" s="2">
        <v>1.34</v>
      </c>
      <c r="R64" s="2">
        <v>20</v>
      </c>
      <c r="S64" s="2">
        <v>150</v>
      </c>
      <c r="T64" s="2">
        <v>31</v>
      </c>
      <c r="U64" s="4">
        <v>15</v>
      </c>
      <c r="V64" s="4">
        <v>1</v>
      </c>
    </row>
    <row r="65" spans="1:22">
      <c r="A65" s="1" t="s">
        <v>88</v>
      </c>
      <c r="B65" s="2" t="s">
        <v>41</v>
      </c>
      <c r="C65" s="2">
        <v>66</v>
      </c>
      <c r="D65" s="9" t="s">
        <v>28</v>
      </c>
      <c r="E65" s="4" t="s">
        <v>29</v>
      </c>
      <c r="F65" s="4" t="s">
        <v>29</v>
      </c>
      <c r="G65" s="4" t="s">
        <v>29</v>
      </c>
      <c r="H65" s="2">
        <v>60.64</v>
      </c>
      <c r="I65" s="2">
        <v>42.69</v>
      </c>
      <c r="J65" s="2">
        <v>14.74</v>
      </c>
      <c r="K65" s="2">
        <v>6.24</v>
      </c>
      <c r="L65" s="2">
        <v>43</v>
      </c>
      <c r="M65" s="4">
        <f t="shared" si="0"/>
        <v>141.023255813953</v>
      </c>
      <c r="N65" s="4">
        <f t="shared" si="1"/>
        <v>4.11397557666214</v>
      </c>
      <c r="O65" s="4">
        <f t="shared" si="2"/>
        <v>9.71794871794872</v>
      </c>
      <c r="P65" s="2">
        <v>23.1</v>
      </c>
      <c r="Q65" s="2">
        <v>2.4</v>
      </c>
      <c r="R65" s="2">
        <v>20</v>
      </c>
      <c r="S65" s="2">
        <v>150</v>
      </c>
      <c r="T65" s="2">
        <v>26</v>
      </c>
      <c r="U65" s="4">
        <v>15</v>
      </c>
      <c r="V65" s="4">
        <v>1</v>
      </c>
    </row>
    <row r="66" spans="1:22">
      <c r="A66" s="1" t="s">
        <v>88</v>
      </c>
      <c r="B66" s="2" t="s">
        <v>41</v>
      </c>
      <c r="C66" s="2">
        <v>66</v>
      </c>
      <c r="D66" s="9" t="s">
        <v>28</v>
      </c>
      <c r="E66" s="4" t="s">
        <v>29</v>
      </c>
      <c r="F66" s="4" t="s">
        <v>29</v>
      </c>
      <c r="G66" s="4" t="s">
        <v>29</v>
      </c>
      <c r="H66" s="2">
        <v>35.65</v>
      </c>
      <c r="I66" s="2">
        <v>45.82</v>
      </c>
      <c r="J66" s="2">
        <v>25.07</v>
      </c>
      <c r="K66" s="2">
        <v>0.48</v>
      </c>
      <c r="L66" s="2">
        <v>48</v>
      </c>
      <c r="M66" s="4">
        <f t="shared" si="0"/>
        <v>74.2708333333333</v>
      </c>
      <c r="N66" s="4">
        <f t="shared" si="1"/>
        <v>1.42201834862385</v>
      </c>
      <c r="O66" s="4">
        <f t="shared" si="2"/>
        <v>74.2708333333333</v>
      </c>
      <c r="P66" s="2">
        <v>20.7</v>
      </c>
      <c r="Q66" s="2">
        <v>3.59</v>
      </c>
      <c r="R66" s="2">
        <v>9.31</v>
      </c>
      <c r="S66" s="2">
        <v>48.83</v>
      </c>
      <c r="T66" s="2">
        <v>41</v>
      </c>
      <c r="U66" s="4">
        <v>15</v>
      </c>
      <c r="V66" s="4">
        <v>1</v>
      </c>
    </row>
    <row r="67" spans="1:22">
      <c r="A67" s="1" t="s">
        <v>88</v>
      </c>
      <c r="B67" s="2" t="s">
        <v>41</v>
      </c>
      <c r="C67" s="2">
        <v>66</v>
      </c>
      <c r="D67" s="9" t="s">
        <v>28</v>
      </c>
      <c r="E67" s="4" t="s">
        <v>29</v>
      </c>
      <c r="F67" s="4" t="s">
        <v>29</v>
      </c>
      <c r="G67" s="4" t="s">
        <v>29</v>
      </c>
      <c r="H67" s="2">
        <v>27.34</v>
      </c>
      <c r="I67" s="2">
        <v>41.65</v>
      </c>
      <c r="J67" s="2">
        <v>10.62</v>
      </c>
      <c r="K67" s="2">
        <v>1.33</v>
      </c>
      <c r="L67" s="2">
        <v>66</v>
      </c>
      <c r="M67" s="4">
        <f t="shared" ref="M67:M130" si="3">100*H67/L67</f>
        <v>41.4242424242424</v>
      </c>
      <c r="N67" s="4">
        <f t="shared" ref="N67:N130" si="4">H67/J67</f>
        <v>2.5743879472693</v>
      </c>
      <c r="O67" s="4">
        <f t="shared" ref="O67:O130" si="5">H67/K67</f>
        <v>20.5563909774436</v>
      </c>
      <c r="P67" s="2">
        <v>18.6</v>
      </c>
      <c r="Q67" s="2">
        <v>3.42</v>
      </c>
      <c r="R67" s="2">
        <v>12.27</v>
      </c>
      <c r="S67" s="2">
        <v>66.71</v>
      </c>
      <c r="T67" s="2">
        <v>69</v>
      </c>
      <c r="U67" s="4">
        <v>15</v>
      </c>
      <c r="V67" s="4">
        <v>1</v>
      </c>
    </row>
    <row r="68" spans="1:22">
      <c r="A68" s="1" t="s">
        <v>89</v>
      </c>
      <c r="B68" s="2" t="s">
        <v>41</v>
      </c>
      <c r="C68" s="2">
        <v>76</v>
      </c>
      <c r="D68" s="9" t="s">
        <v>28</v>
      </c>
      <c r="E68" s="4" t="s">
        <v>29</v>
      </c>
      <c r="F68" s="4" t="s">
        <v>29</v>
      </c>
      <c r="G68" s="4" t="s">
        <v>29</v>
      </c>
      <c r="H68" s="2">
        <v>71.07</v>
      </c>
      <c r="I68" s="2">
        <v>19.79</v>
      </c>
      <c r="J68" s="2">
        <v>14.57</v>
      </c>
      <c r="K68" s="2">
        <v>15.33</v>
      </c>
      <c r="L68" s="2">
        <v>54</v>
      </c>
      <c r="M68" s="4">
        <f t="shared" si="3"/>
        <v>131.611111111111</v>
      </c>
      <c r="N68" s="4">
        <f t="shared" si="4"/>
        <v>4.87783115991764</v>
      </c>
      <c r="O68" s="4">
        <f t="shared" si="5"/>
        <v>4.63600782778865</v>
      </c>
      <c r="P68" s="2">
        <v>23.5</v>
      </c>
      <c r="Q68" s="2">
        <v>0.6</v>
      </c>
      <c r="R68" s="2">
        <v>20</v>
      </c>
      <c r="S68" s="2">
        <v>150</v>
      </c>
      <c r="T68" s="2">
        <v>53</v>
      </c>
      <c r="U68" s="4">
        <v>32</v>
      </c>
      <c r="V68" s="4">
        <v>1</v>
      </c>
    </row>
    <row r="69" spans="1:22">
      <c r="A69" s="1" t="s">
        <v>89</v>
      </c>
      <c r="B69" s="2" t="s">
        <v>41</v>
      </c>
      <c r="C69" s="2">
        <v>76</v>
      </c>
      <c r="D69" s="9" t="s">
        <v>28</v>
      </c>
      <c r="E69" s="4" t="s">
        <v>24</v>
      </c>
      <c r="F69" s="4" t="s">
        <v>31</v>
      </c>
      <c r="G69" s="2" t="s">
        <v>32</v>
      </c>
      <c r="H69" s="2">
        <v>81.4</v>
      </c>
      <c r="I69" s="2">
        <v>17.9</v>
      </c>
      <c r="J69" s="2">
        <v>9.19</v>
      </c>
      <c r="K69" s="2">
        <v>15.27</v>
      </c>
      <c r="L69" s="2">
        <v>64</v>
      </c>
      <c r="M69" s="4">
        <f t="shared" si="3"/>
        <v>127.1875</v>
      </c>
      <c r="N69" s="4">
        <f t="shared" si="4"/>
        <v>8.85745375408052</v>
      </c>
      <c r="O69" s="4">
        <f t="shared" si="5"/>
        <v>5.33071381794368</v>
      </c>
      <c r="P69" s="2">
        <v>16.9</v>
      </c>
      <c r="Q69" s="2">
        <v>1.78</v>
      </c>
      <c r="R69" s="2">
        <v>20</v>
      </c>
      <c r="S69" s="2">
        <v>150</v>
      </c>
      <c r="T69" s="2">
        <v>99</v>
      </c>
      <c r="U69" s="4">
        <v>32</v>
      </c>
      <c r="V69" s="4">
        <v>1</v>
      </c>
    </row>
    <row r="70" spans="1:22">
      <c r="A70" s="1" t="s">
        <v>89</v>
      </c>
      <c r="B70" s="2" t="s">
        <v>41</v>
      </c>
      <c r="C70" s="2">
        <v>76</v>
      </c>
      <c r="D70" s="9" t="s">
        <v>28</v>
      </c>
      <c r="E70" s="4" t="s">
        <v>24</v>
      </c>
      <c r="F70" s="4" t="s">
        <v>31</v>
      </c>
      <c r="G70" s="2" t="s">
        <v>32</v>
      </c>
      <c r="H70" s="2">
        <v>7.71</v>
      </c>
      <c r="I70" s="2">
        <v>21.05</v>
      </c>
      <c r="J70" s="2">
        <v>62.66</v>
      </c>
      <c r="K70" s="2">
        <v>2.14</v>
      </c>
      <c r="L70" s="2">
        <v>55</v>
      </c>
      <c r="M70" s="4">
        <f t="shared" si="3"/>
        <v>14.0181818181818</v>
      </c>
      <c r="N70" s="4">
        <f t="shared" si="4"/>
        <v>0.123045004787743</v>
      </c>
      <c r="O70" s="4">
        <f t="shared" si="5"/>
        <v>3.60280373831776</v>
      </c>
      <c r="P70" s="2">
        <v>18.2</v>
      </c>
      <c r="Q70" s="2">
        <v>3.08</v>
      </c>
      <c r="R70" s="2">
        <v>6.15</v>
      </c>
      <c r="S70" s="2">
        <v>22.86</v>
      </c>
      <c r="T70" s="2">
        <v>238</v>
      </c>
      <c r="U70" s="4">
        <v>32</v>
      </c>
      <c r="V70" s="4">
        <v>1</v>
      </c>
    </row>
    <row r="71" spans="1:22">
      <c r="A71" s="1" t="s">
        <v>90</v>
      </c>
      <c r="B71" s="2" t="s">
        <v>41</v>
      </c>
      <c r="C71" s="2">
        <v>29</v>
      </c>
      <c r="D71" s="9" t="s">
        <v>35</v>
      </c>
      <c r="E71" s="4" t="s">
        <v>24</v>
      </c>
      <c r="F71" s="4" t="s">
        <v>31</v>
      </c>
      <c r="G71" s="2" t="s">
        <v>32</v>
      </c>
      <c r="H71" s="2">
        <v>16.01</v>
      </c>
      <c r="I71" s="2">
        <v>24.04</v>
      </c>
      <c r="J71" s="2">
        <v>4.58</v>
      </c>
      <c r="K71" s="2">
        <v>3.99</v>
      </c>
      <c r="L71" s="2"/>
      <c r="M71" s="4" t="e">
        <f t="shared" si="3"/>
        <v>#DIV/0!</v>
      </c>
      <c r="N71" s="4">
        <f t="shared" si="4"/>
        <v>3.49563318777293</v>
      </c>
      <c r="O71" s="4">
        <f t="shared" si="5"/>
        <v>4.0125313283208</v>
      </c>
      <c r="P71" s="2">
        <v>11.7</v>
      </c>
      <c r="Q71" s="2">
        <v>5.18</v>
      </c>
      <c r="R71" s="2">
        <v>31.88</v>
      </c>
      <c r="S71" s="2"/>
      <c r="T71" s="2">
        <v>163</v>
      </c>
      <c r="U71" s="4">
        <v>24</v>
      </c>
      <c r="V71" s="4">
        <v>1</v>
      </c>
    </row>
    <row r="72" spans="1:22">
      <c r="A72" s="1" t="s">
        <v>90</v>
      </c>
      <c r="B72" s="2" t="s">
        <v>41</v>
      </c>
      <c r="C72" s="2">
        <v>29</v>
      </c>
      <c r="D72" s="9" t="s">
        <v>35</v>
      </c>
      <c r="E72" s="4" t="s">
        <v>24</v>
      </c>
      <c r="F72" s="4" t="s">
        <v>31</v>
      </c>
      <c r="G72" s="2" t="s">
        <v>33</v>
      </c>
      <c r="H72" s="2">
        <v>26.56</v>
      </c>
      <c r="I72" s="2">
        <v>26.96</v>
      </c>
      <c r="J72" s="2">
        <v>4.32</v>
      </c>
      <c r="K72" s="2">
        <v>2.31</v>
      </c>
      <c r="L72" s="2">
        <v>75</v>
      </c>
      <c r="M72" s="4">
        <f t="shared" si="3"/>
        <v>35.4133333333333</v>
      </c>
      <c r="N72" s="4">
        <f t="shared" si="4"/>
        <v>6.14814814814815</v>
      </c>
      <c r="O72" s="4">
        <f t="shared" si="5"/>
        <v>11.4978354978355</v>
      </c>
      <c r="P72" s="2">
        <v>16</v>
      </c>
      <c r="Q72" s="2">
        <v>4.37</v>
      </c>
      <c r="R72" s="2">
        <v>20</v>
      </c>
      <c r="S72" s="2">
        <v>83.08</v>
      </c>
      <c r="T72" s="2">
        <v>229</v>
      </c>
      <c r="U72" s="4">
        <v>24</v>
      </c>
      <c r="V72" s="4">
        <v>1</v>
      </c>
    </row>
    <row r="73" spans="1:22">
      <c r="A73" s="1" t="s">
        <v>91</v>
      </c>
      <c r="B73" s="2" t="s">
        <v>45</v>
      </c>
      <c r="C73" s="2">
        <v>72</v>
      </c>
      <c r="D73" s="9" t="s">
        <v>42</v>
      </c>
      <c r="E73" s="4" t="s">
        <v>24</v>
      </c>
      <c r="F73" s="4" t="s">
        <v>25</v>
      </c>
      <c r="G73" s="4" t="s">
        <v>25</v>
      </c>
      <c r="H73" s="2">
        <v>3.39</v>
      </c>
      <c r="I73" s="2">
        <v>18.75</v>
      </c>
      <c r="J73" s="2">
        <v>24.75</v>
      </c>
      <c r="K73" s="2">
        <v>1.12</v>
      </c>
      <c r="L73" s="2">
        <v>44</v>
      </c>
      <c r="M73" s="4">
        <f t="shared" si="3"/>
        <v>7.70454545454545</v>
      </c>
      <c r="N73" s="4">
        <f t="shared" si="4"/>
        <v>0.136969696969697</v>
      </c>
      <c r="O73" s="4">
        <f t="shared" si="5"/>
        <v>3.02678571428571</v>
      </c>
      <c r="P73" s="2">
        <v>15.9</v>
      </c>
      <c r="Q73" s="2">
        <v>5.08</v>
      </c>
      <c r="R73" s="2">
        <v>1.3</v>
      </c>
      <c r="S73" s="2">
        <v>3.86</v>
      </c>
      <c r="T73" s="2">
        <v>173</v>
      </c>
      <c r="U73" s="4">
        <v>20</v>
      </c>
      <c r="V73" s="4">
        <v>1</v>
      </c>
    </row>
    <row r="74" spans="1:22">
      <c r="A74" s="1" t="s">
        <v>92</v>
      </c>
      <c r="B74" s="2" t="s">
        <v>41</v>
      </c>
      <c r="C74" s="2">
        <v>59</v>
      </c>
      <c r="D74" s="9" t="s">
        <v>28</v>
      </c>
      <c r="E74" s="4" t="s">
        <v>29</v>
      </c>
      <c r="F74" s="4" t="s">
        <v>29</v>
      </c>
      <c r="G74" s="4" t="s">
        <v>29</v>
      </c>
      <c r="H74" s="2">
        <v>29.61</v>
      </c>
      <c r="I74" s="2">
        <v>51.59</v>
      </c>
      <c r="J74" s="2">
        <v>5.09</v>
      </c>
      <c r="K74" s="2">
        <v>1.22</v>
      </c>
      <c r="L74" s="2"/>
      <c r="M74" s="4" t="e">
        <f t="shared" si="3"/>
        <v>#DIV/0!</v>
      </c>
      <c r="N74" s="4">
        <f t="shared" si="4"/>
        <v>5.81728880157171</v>
      </c>
      <c r="O74" s="4">
        <f t="shared" si="5"/>
        <v>24.2704918032787</v>
      </c>
      <c r="P74" s="2">
        <v>118</v>
      </c>
      <c r="Q74" s="2">
        <v>13.3</v>
      </c>
      <c r="R74" s="2">
        <v>6.1</v>
      </c>
      <c r="S74" s="2">
        <v>20.89</v>
      </c>
      <c r="T74" s="2">
        <v>225</v>
      </c>
      <c r="U74" s="4">
        <v>14</v>
      </c>
      <c r="V74" s="4">
        <v>0</v>
      </c>
    </row>
    <row r="75" spans="1:22">
      <c r="A75" s="1" t="s">
        <v>93</v>
      </c>
      <c r="B75" s="2" t="s">
        <v>41</v>
      </c>
      <c r="C75" s="2">
        <v>54</v>
      </c>
      <c r="D75" s="9" t="s">
        <v>42</v>
      </c>
      <c r="E75" s="4" t="s">
        <v>24</v>
      </c>
      <c r="F75" s="4" t="s">
        <v>25</v>
      </c>
      <c r="G75" s="4" t="s">
        <v>25</v>
      </c>
      <c r="H75" s="2">
        <v>3.99</v>
      </c>
      <c r="I75" s="2">
        <v>6.5</v>
      </c>
      <c r="J75" s="2">
        <v>7.44</v>
      </c>
      <c r="K75" s="2">
        <v>1.69</v>
      </c>
      <c r="L75" s="2">
        <v>66</v>
      </c>
      <c r="M75" s="4">
        <f t="shared" si="3"/>
        <v>6.04545454545455</v>
      </c>
      <c r="N75" s="4">
        <f t="shared" si="4"/>
        <v>0.536290322580645</v>
      </c>
      <c r="O75" s="4">
        <f t="shared" si="5"/>
        <v>2.36094674556213</v>
      </c>
      <c r="P75" s="2">
        <v>13.5</v>
      </c>
      <c r="Q75" s="2">
        <v>4.73</v>
      </c>
      <c r="R75" s="2">
        <v>1.96</v>
      </c>
      <c r="S75" s="2">
        <v>5.68</v>
      </c>
      <c r="T75" s="2">
        <v>261</v>
      </c>
      <c r="U75" s="4">
        <v>25</v>
      </c>
      <c r="V75" s="4">
        <v>0</v>
      </c>
    </row>
    <row r="76" spans="1:22">
      <c r="A76" s="1" t="s">
        <v>94</v>
      </c>
      <c r="B76" s="2" t="s">
        <v>45</v>
      </c>
      <c r="C76" s="2">
        <v>65</v>
      </c>
      <c r="D76" s="9" t="s">
        <v>28</v>
      </c>
      <c r="E76" s="4" t="s">
        <v>29</v>
      </c>
      <c r="F76" s="4" t="s">
        <v>29</v>
      </c>
      <c r="G76" s="4" t="s">
        <v>29</v>
      </c>
      <c r="H76" s="2">
        <v>99.29</v>
      </c>
      <c r="I76" s="2">
        <v>37.24</v>
      </c>
      <c r="J76" s="2">
        <v>15.58</v>
      </c>
      <c r="K76" s="2">
        <v>3.16</v>
      </c>
      <c r="L76" s="2">
        <v>15</v>
      </c>
      <c r="M76" s="4">
        <f t="shared" si="3"/>
        <v>661.933333333333</v>
      </c>
      <c r="N76" s="4">
        <f t="shared" si="4"/>
        <v>6.37291399229782</v>
      </c>
      <c r="O76" s="4">
        <f t="shared" si="5"/>
        <v>31.4208860759494</v>
      </c>
      <c r="P76" s="2">
        <v>41</v>
      </c>
      <c r="Q76" s="2">
        <v>0.6</v>
      </c>
      <c r="R76" s="2">
        <v>20</v>
      </c>
      <c r="S76" s="2">
        <v>150</v>
      </c>
      <c r="T76" s="2">
        <v>20</v>
      </c>
      <c r="U76" s="4">
        <v>5</v>
      </c>
      <c r="V76" s="4">
        <v>1</v>
      </c>
    </row>
    <row r="77" spans="1:22">
      <c r="A77" s="1" t="s">
        <v>95</v>
      </c>
      <c r="B77" s="2" t="s">
        <v>41</v>
      </c>
      <c r="C77" s="2">
        <v>61</v>
      </c>
      <c r="D77" s="9" t="s">
        <v>42</v>
      </c>
      <c r="E77" s="4" t="s">
        <v>29</v>
      </c>
      <c r="F77" s="4" t="s">
        <v>29</v>
      </c>
      <c r="G77" s="4" t="s">
        <v>29</v>
      </c>
      <c r="H77" s="2">
        <v>15.33</v>
      </c>
      <c r="I77" s="2">
        <v>23.72</v>
      </c>
      <c r="J77" s="2">
        <v>14.18</v>
      </c>
      <c r="K77" s="2">
        <v>0.9</v>
      </c>
      <c r="L77" s="2">
        <v>43</v>
      </c>
      <c r="M77" s="4">
        <f t="shared" si="3"/>
        <v>35.6511627906977</v>
      </c>
      <c r="N77" s="4">
        <f t="shared" si="4"/>
        <v>1.08110014104372</v>
      </c>
      <c r="O77" s="4">
        <f t="shared" si="5"/>
        <v>17.0333333333333</v>
      </c>
      <c r="P77" s="2">
        <v>18.1</v>
      </c>
      <c r="Q77" s="2">
        <v>2.69</v>
      </c>
      <c r="R77" s="2">
        <v>5.59</v>
      </c>
      <c r="S77" s="2">
        <v>21.58</v>
      </c>
      <c r="T77" s="2">
        <v>34</v>
      </c>
      <c r="U77" s="4">
        <v>13</v>
      </c>
      <c r="V77" s="4">
        <v>1</v>
      </c>
    </row>
    <row r="78" spans="1:22">
      <c r="A78" s="1" t="s">
        <v>96</v>
      </c>
      <c r="B78" s="2" t="s">
        <v>45</v>
      </c>
      <c r="C78" s="2">
        <v>53</v>
      </c>
      <c r="D78" s="9" t="s">
        <v>42</v>
      </c>
      <c r="E78" s="4" t="s">
        <v>24</v>
      </c>
      <c r="F78" s="4" t="s">
        <v>31</v>
      </c>
      <c r="G78" s="2" t="s">
        <v>32</v>
      </c>
      <c r="H78" s="2">
        <v>13.72</v>
      </c>
      <c r="I78" s="2">
        <v>52.89</v>
      </c>
      <c r="J78" s="2">
        <v>99.58</v>
      </c>
      <c r="K78" s="2">
        <v>2.57</v>
      </c>
      <c r="L78" s="2"/>
      <c r="M78" s="4" t="e">
        <f t="shared" si="3"/>
        <v>#DIV/0!</v>
      </c>
      <c r="N78" s="4">
        <f t="shared" si="4"/>
        <v>0.137778670415746</v>
      </c>
      <c r="O78" s="4">
        <f t="shared" si="5"/>
        <v>5.33852140077821</v>
      </c>
      <c r="P78" s="2">
        <v>9.7</v>
      </c>
      <c r="Q78" s="2">
        <v>2.37</v>
      </c>
      <c r="R78" s="2">
        <v>2.27</v>
      </c>
      <c r="S78" s="2"/>
      <c r="T78" s="2">
        <v>31</v>
      </c>
      <c r="U78" s="4">
        <v>25</v>
      </c>
      <c r="V78" s="4">
        <v>0</v>
      </c>
    </row>
    <row r="79" spans="1:22">
      <c r="A79" s="1" t="s">
        <v>97</v>
      </c>
      <c r="B79" s="2" t="s">
        <v>45</v>
      </c>
      <c r="C79" s="2">
        <v>35</v>
      </c>
      <c r="D79" s="9" t="s">
        <v>42</v>
      </c>
      <c r="E79" s="4" t="s">
        <v>29</v>
      </c>
      <c r="F79" s="4" t="s">
        <v>29</v>
      </c>
      <c r="G79" s="4" t="s">
        <v>29</v>
      </c>
      <c r="H79" s="2">
        <v>20.65</v>
      </c>
      <c r="I79" s="2">
        <v>22.71</v>
      </c>
      <c r="J79" s="2">
        <v>41.71</v>
      </c>
      <c r="K79" s="2">
        <v>2.22</v>
      </c>
      <c r="L79" s="2">
        <v>59</v>
      </c>
      <c r="M79" s="4">
        <f t="shared" si="3"/>
        <v>35</v>
      </c>
      <c r="N79" s="4">
        <f t="shared" si="4"/>
        <v>0.495085111484057</v>
      </c>
      <c r="O79" s="4">
        <f t="shared" si="5"/>
        <v>9.3018018018018</v>
      </c>
      <c r="P79" s="2">
        <v>13.1</v>
      </c>
      <c r="Q79" s="2">
        <v>2.01</v>
      </c>
      <c r="R79" s="2">
        <v>11.43</v>
      </c>
      <c r="S79" s="2">
        <v>41.57</v>
      </c>
      <c r="T79" s="2">
        <v>3</v>
      </c>
      <c r="U79" s="4">
        <v>25</v>
      </c>
      <c r="V79" s="4">
        <v>0</v>
      </c>
    </row>
    <row r="80" spans="1:22">
      <c r="A80" s="1" t="s">
        <v>98</v>
      </c>
      <c r="B80" s="2" t="s">
        <v>45</v>
      </c>
      <c r="C80" s="2">
        <v>88</v>
      </c>
      <c r="D80" s="9" t="s">
        <v>42</v>
      </c>
      <c r="E80" s="4" t="s">
        <v>24</v>
      </c>
      <c r="F80" s="4" t="s">
        <v>25</v>
      </c>
      <c r="G80" s="4" t="s">
        <v>25</v>
      </c>
      <c r="H80" s="2">
        <v>22.4</v>
      </c>
      <c r="I80" s="2">
        <v>10.95</v>
      </c>
      <c r="J80" s="2">
        <v>10.47</v>
      </c>
      <c r="K80" s="2">
        <v>3.49</v>
      </c>
      <c r="L80" s="2">
        <v>68</v>
      </c>
      <c r="M80" s="4">
        <f t="shared" si="3"/>
        <v>32.9411764705882</v>
      </c>
      <c r="N80" s="4">
        <f t="shared" si="4"/>
        <v>2.13944603629417</v>
      </c>
      <c r="O80" s="4">
        <f t="shared" si="5"/>
        <v>6.41833810888252</v>
      </c>
      <c r="P80" s="2">
        <v>16.9</v>
      </c>
      <c r="Q80" s="2">
        <v>3.89</v>
      </c>
      <c r="R80" s="2">
        <v>20</v>
      </c>
      <c r="S80" s="2">
        <v>150</v>
      </c>
      <c r="T80" s="2">
        <v>318</v>
      </c>
      <c r="U80" s="4">
        <v>12</v>
      </c>
      <c r="V80" s="4">
        <v>1</v>
      </c>
    </row>
    <row r="81" spans="1:22">
      <c r="A81" s="1" t="s">
        <v>99</v>
      </c>
      <c r="B81" s="2" t="s">
        <v>41</v>
      </c>
      <c r="C81" s="2">
        <v>79</v>
      </c>
      <c r="D81" s="9" t="s">
        <v>42</v>
      </c>
      <c r="E81" s="4" t="s">
        <v>24</v>
      </c>
      <c r="F81" s="4" t="s">
        <v>25</v>
      </c>
      <c r="G81" s="4" t="s">
        <v>25</v>
      </c>
      <c r="H81" s="2">
        <v>1.87</v>
      </c>
      <c r="I81" s="2">
        <v>47.55</v>
      </c>
      <c r="J81" s="2">
        <v>3.13</v>
      </c>
      <c r="K81" s="2">
        <v>1.19</v>
      </c>
      <c r="L81" s="2">
        <v>77</v>
      </c>
      <c r="M81" s="4">
        <f t="shared" si="3"/>
        <v>2.42857142857143</v>
      </c>
      <c r="N81" s="4">
        <f t="shared" si="4"/>
        <v>0.597444089456869</v>
      </c>
      <c r="O81" s="4">
        <f t="shared" si="5"/>
        <v>1.57142857142857</v>
      </c>
      <c r="P81" s="2">
        <v>14.7</v>
      </c>
      <c r="Q81" s="2">
        <v>4.78</v>
      </c>
      <c r="R81" s="2">
        <v>1.9</v>
      </c>
      <c r="S81" s="2">
        <v>5.86</v>
      </c>
      <c r="T81" s="2">
        <v>99</v>
      </c>
      <c r="U81" s="4">
        <v>17</v>
      </c>
      <c r="V81" s="4">
        <v>1</v>
      </c>
    </row>
    <row r="82" spans="1:22">
      <c r="A82" s="1" t="s">
        <v>100</v>
      </c>
      <c r="B82" s="2" t="s">
        <v>41</v>
      </c>
      <c r="C82" s="2">
        <v>67</v>
      </c>
      <c r="D82" s="9" t="s">
        <v>42</v>
      </c>
      <c r="E82" s="4" t="s">
        <v>24</v>
      </c>
      <c r="F82" s="4" t="s">
        <v>25</v>
      </c>
      <c r="G82" s="4" t="s">
        <v>25</v>
      </c>
      <c r="H82" s="2">
        <v>2.51</v>
      </c>
      <c r="I82" s="2">
        <v>11.64</v>
      </c>
      <c r="J82" s="2">
        <v>5.21</v>
      </c>
      <c r="K82" s="2">
        <v>2.27</v>
      </c>
      <c r="L82" s="2">
        <v>86</v>
      </c>
      <c r="M82" s="4">
        <f t="shared" si="3"/>
        <v>2.91860465116279</v>
      </c>
      <c r="N82" s="4">
        <f t="shared" si="4"/>
        <v>0.481765834932821</v>
      </c>
      <c r="O82" s="4">
        <f t="shared" si="5"/>
        <v>1.1057268722467</v>
      </c>
      <c r="P82" s="2">
        <v>19.3</v>
      </c>
      <c r="Q82" s="2">
        <v>6.54</v>
      </c>
      <c r="R82" s="2">
        <v>3.98</v>
      </c>
      <c r="S82" s="2">
        <v>11.5</v>
      </c>
      <c r="T82" s="2">
        <v>199</v>
      </c>
      <c r="U82" s="4">
        <v>18</v>
      </c>
      <c r="V82" s="4">
        <v>1</v>
      </c>
    </row>
    <row r="83" spans="1:22">
      <c r="A83" s="1" t="s">
        <v>101</v>
      </c>
      <c r="B83" s="2" t="s">
        <v>41</v>
      </c>
      <c r="C83" s="2">
        <v>82</v>
      </c>
      <c r="D83" s="9" t="s">
        <v>42</v>
      </c>
      <c r="E83" s="4" t="s">
        <v>24</v>
      </c>
      <c r="F83" s="4" t="s">
        <v>25</v>
      </c>
      <c r="G83" s="4" t="s">
        <v>25</v>
      </c>
      <c r="H83" s="2">
        <v>3.16</v>
      </c>
      <c r="I83" s="2">
        <v>25.62</v>
      </c>
      <c r="J83" s="2">
        <v>10.29</v>
      </c>
      <c r="K83" s="2">
        <v>1.49</v>
      </c>
      <c r="L83" s="2">
        <v>66</v>
      </c>
      <c r="M83" s="4">
        <f t="shared" si="3"/>
        <v>4.78787878787879</v>
      </c>
      <c r="N83" s="4">
        <f t="shared" si="4"/>
        <v>0.30709426627794</v>
      </c>
      <c r="O83" s="4">
        <f t="shared" si="5"/>
        <v>2.12080536912752</v>
      </c>
      <c r="P83" s="2">
        <v>15.1</v>
      </c>
      <c r="Q83" s="2">
        <v>4.48</v>
      </c>
      <c r="R83" s="2">
        <v>6.27</v>
      </c>
      <c r="S83" s="2">
        <v>22.73</v>
      </c>
      <c r="T83" s="2">
        <v>339</v>
      </c>
      <c r="U83" s="4">
        <v>26</v>
      </c>
      <c r="V83" s="4">
        <v>1</v>
      </c>
    </row>
    <row r="84" spans="1:22">
      <c r="A84" s="1" t="s">
        <v>102</v>
      </c>
      <c r="B84" s="2" t="s">
        <v>41</v>
      </c>
      <c r="C84" s="2">
        <v>81</v>
      </c>
      <c r="D84" s="9" t="s">
        <v>28</v>
      </c>
      <c r="E84" s="4" t="s">
        <v>29</v>
      </c>
      <c r="F84" s="4" t="s">
        <v>29</v>
      </c>
      <c r="G84" s="4" t="s">
        <v>29</v>
      </c>
      <c r="H84" s="2">
        <v>17.1</v>
      </c>
      <c r="I84" s="2">
        <v>43.49</v>
      </c>
      <c r="J84" s="2">
        <v>19.69</v>
      </c>
      <c r="K84" s="2">
        <v>2.56</v>
      </c>
      <c r="L84" s="2">
        <v>41</v>
      </c>
      <c r="M84" s="4">
        <f t="shared" si="3"/>
        <v>41.7073170731707</v>
      </c>
      <c r="N84" s="4">
        <f t="shared" si="4"/>
        <v>0.868461147790757</v>
      </c>
      <c r="O84" s="4">
        <f t="shared" si="5"/>
        <v>6.6796875</v>
      </c>
      <c r="P84" s="2">
        <v>23.1</v>
      </c>
      <c r="Q84" s="2">
        <v>2.53</v>
      </c>
      <c r="R84" s="2">
        <v>12.48</v>
      </c>
      <c r="S84" s="2">
        <v>56.56</v>
      </c>
      <c r="T84" s="2">
        <v>46</v>
      </c>
      <c r="U84" s="4">
        <v>12</v>
      </c>
      <c r="V84" s="4">
        <v>1</v>
      </c>
    </row>
    <row r="85" spans="1:22">
      <c r="A85" s="7" t="s">
        <v>103</v>
      </c>
      <c r="B85" s="4" t="s">
        <v>45</v>
      </c>
      <c r="C85" s="4">
        <v>25</v>
      </c>
      <c r="D85" s="9" t="s">
        <v>28</v>
      </c>
      <c r="E85" s="4" t="s">
        <v>24</v>
      </c>
      <c r="F85" s="4" t="s">
        <v>31</v>
      </c>
      <c r="G85" s="2" t="s">
        <v>32</v>
      </c>
      <c r="H85" s="4">
        <v>120</v>
      </c>
      <c r="I85" s="4">
        <v>30.11</v>
      </c>
      <c r="J85" s="4">
        <v>13.29</v>
      </c>
      <c r="K85" s="4">
        <v>0.56</v>
      </c>
      <c r="L85" s="4">
        <v>76</v>
      </c>
      <c r="M85" s="4">
        <f t="shared" si="3"/>
        <v>157.894736842105</v>
      </c>
      <c r="N85" s="4">
        <f t="shared" si="4"/>
        <v>9.0293453724605</v>
      </c>
      <c r="O85" s="4">
        <f t="shared" si="5"/>
        <v>214.285714285714</v>
      </c>
      <c r="P85" s="4">
        <v>15.9</v>
      </c>
      <c r="Q85" s="4">
        <v>5.27</v>
      </c>
      <c r="R85" s="4">
        <v>7.43</v>
      </c>
      <c r="S85" s="4">
        <v>28.48</v>
      </c>
      <c r="T85" s="4">
        <v>134</v>
      </c>
      <c r="U85" s="4">
        <v>30</v>
      </c>
      <c r="V85" s="4">
        <v>1</v>
      </c>
    </row>
    <row r="86" spans="1:22">
      <c r="A86" s="7" t="s">
        <v>104</v>
      </c>
      <c r="B86" s="4" t="s">
        <v>41</v>
      </c>
      <c r="C86" s="4">
        <v>77</v>
      </c>
      <c r="D86" s="9" t="s">
        <v>42</v>
      </c>
      <c r="E86" s="4" t="s">
        <v>24</v>
      </c>
      <c r="F86" s="4" t="s">
        <v>25</v>
      </c>
      <c r="G86" s="4" t="s">
        <v>25</v>
      </c>
      <c r="H86" s="4">
        <v>5.69</v>
      </c>
      <c r="I86" s="4">
        <v>23</v>
      </c>
      <c r="J86" s="4">
        <v>26.23</v>
      </c>
      <c r="K86" s="4">
        <v>0.92</v>
      </c>
      <c r="L86" s="4">
        <v>54</v>
      </c>
      <c r="M86" s="4">
        <f t="shared" si="3"/>
        <v>10.537037037037</v>
      </c>
      <c r="N86" s="4">
        <f t="shared" si="4"/>
        <v>0.216927182615326</v>
      </c>
      <c r="O86" s="4">
        <f t="shared" si="5"/>
        <v>6.18478260869565</v>
      </c>
      <c r="P86" s="4">
        <v>16.5</v>
      </c>
      <c r="Q86" s="4">
        <v>4.16</v>
      </c>
      <c r="R86" s="4">
        <v>2.81</v>
      </c>
      <c r="S86" s="4">
        <v>11.81</v>
      </c>
      <c r="T86" s="4">
        <v>162</v>
      </c>
      <c r="U86" s="4">
        <v>21</v>
      </c>
      <c r="V86" s="4">
        <v>1</v>
      </c>
    </row>
    <row r="87" spans="1:22">
      <c r="A87" s="7" t="s">
        <v>105</v>
      </c>
      <c r="B87" s="4" t="s">
        <v>41</v>
      </c>
      <c r="C87" s="4">
        <v>84</v>
      </c>
      <c r="D87" s="9" t="s">
        <v>42</v>
      </c>
      <c r="E87" s="4" t="s">
        <v>24</v>
      </c>
      <c r="F87" s="4" t="s">
        <v>25</v>
      </c>
      <c r="G87" s="4" t="s">
        <v>25</v>
      </c>
      <c r="H87" s="4">
        <v>18.48</v>
      </c>
      <c r="I87" s="4">
        <v>25.46</v>
      </c>
      <c r="J87" s="4">
        <v>13.11</v>
      </c>
      <c r="K87" s="4">
        <v>2.9</v>
      </c>
      <c r="L87" s="4"/>
      <c r="M87" s="4" t="e">
        <f t="shared" si="3"/>
        <v>#DIV/0!</v>
      </c>
      <c r="N87" s="4">
        <f t="shared" si="4"/>
        <v>1.40961098398169</v>
      </c>
      <c r="O87" s="4">
        <f t="shared" si="5"/>
        <v>6.37241379310345</v>
      </c>
      <c r="P87" s="2">
        <v>12.5</v>
      </c>
      <c r="Q87" s="2">
        <v>2.03</v>
      </c>
      <c r="R87" s="2">
        <v>31.47</v>
      </c>
      <c r="S87" s="4"/>
      <c r="T87" s="4">
        <v>125</v>
      </c>
      <c r="U87" s="4">
        <v>32</v>
      </c>
      <c r="V87" s="4">
        <v>0</v>
      </c>
    </row>
    <row r="88" spans="1:22">
      <c r="A88" s="7" t="s">
        <v>106</v>
      </c>
      <c r="B88" s="4" t="s">
        <v>41</v>
      </c>
      <c r="C88" s="4">
        <v>83</v>
      </c>
      <c r="D88" s="9" t="s">
        <v>42</v>
      </c>
      <c r="E88" s="4" t="s">
        <v>24</v>
      </c>
      <c r="F88" s="4" t="s">
        <v>31</v>
      </c>
      <c r="G88" s="2" t="s">
        <v>32</v>
      </c>
      <c r="H88" s="4">
        <v>20.95</v>
      </c>
      <c r="I88" s="4">
        <v>21.23</v>
      </c>
      <c r="J88" s="4">
        <v>16.77</v>
      </c>
      <c r="K88" s="4">
        <v>2.52</v>
      </c>
      <c r="L88" s="4">
        <v>47</v>
      </c>
      <c r="M88" s="4">
        <f t="shared" si="3"/>
        <v>44.5744680851064</v>
      </c>
      <c r="N88" s="4">
        <f t="shared" si="4"/>
        <v>1.24925462134764</v>
      </c>
      <c r="O88" s="4">
        <f t="shared" si="5"/>
        <v>8.31349206349206</v>
      </c>
      <c r="P88" s="4">
        <v>15.7</v>
      </c>
      <c r="Q88" s="4">
        <v>4.97</v>
      </c>
      <c r="R88" s="4">
        <v>20</v>
      </c>
      <c r="S88" s="4">
        <v>150</v>
      </c>
      <c r="T88" s="4">
        <v>67</v>
      </c>
      <c r="U88" s="4">
        <v>13</v>
      </c>
      <c r="V88" s="4">
        <v>1</v>
      </c>
    </row>
    <row r="89" spans="1:22">
      <c r="A89" s="7" t="s">
        <v>107</v>
      </c>
      <c r="B89" s="4" t="s">
        <v>41</v>
      </c>
      <c r="C89" s="4">
        <v>59</v>
      </c>
      <c r="D89" s="9" t="s">
        <v>42</v>
      </c>
      <c r="E89" s="4" t="s">
        <v>24</v>
      </c>
      <c r="F89" s="4" t="s">
        <v>25</v>
      </c>
      <c r="G89" s="4" t="s">
        <v>25</v>
      </c>
      <c r="H89" s="4">
        <v>13.96</v>
      </c>
      <c r="I89" s="4">
        <v>8.25</v>
      </c>
      <c r="J89" s="4">
        <v>27.3</v>
      </c>
      <c r="K89" s="4">
        <v>1.21</v>
      </c>
      <c r="L89" s="4">
        <v>64</v>
      </c>
      <c r="M89" s="4">
        <f t="shared" si="3"/>
        <v>21.8125</v>
      </c>
      <c r="N89" s="4">
        <f t="shared" si="4"/>
        <v>0.511355311355311</v>
      </c>
      <c r="O89" s="4">
        <f t="shared" si="5"/>
        <v>11.5371900826446</v>
      </c>
      <c r="P89" s="4">
        <v>13</v>
      </c>
      <c r="Q89" s="4">
        <v>1.82</v>
      </c>
      <c r="R89" s="4">
        <v>5.36</v>
      </c>
      <c r="S89" s="4">
        <v>15.97</v>
      </c>
      <c r="T89" s="4">
        <v>61</v>
      </c>
      <c r="U89" s="4">
        <v>23</v>
      </c>
      <c r="V89" s="4">
        <v>1</v>
      </c>
    </row>
    <row r="90" spans="1:22">
      <c r="A90" s="7" t="s">
        <v>108</v>
      </c>
      <c r="B90" s="4" t="s">
        <v>41</v>
      </c>
      <c r="C90" s="4">
        <v>76</v>
      </c>
      <c r="D90" s="9" t="s">
        <v>42</v>
      </c>
      <c r="E90" s="4" t="s">
        <v>29</v>
      </c>
      <c r="F90" s="4" t="s">
        <v>29</v>
      </c>
      <c r="G90" s="4" t="s">
        <v>29</v>
      </c>
      <c r="H90" s="4">
        <v>12.07</v>
      </c>
      <c r="I90" s="4">
        <v>24.81</v>
      </c>
      <c r="J90" s="4">
        <v>8.79</v>
      </c>
      <c r="K90" s="4">
        <v>0.56</v>
      </c>
      <c r="L90" s="4">
        <v>28</v>
      </c>
      <c r="M90" s="4">
        <f t="shared" si="3"/>
        <v>43.1071428571429</v>
      </c>
      <c r="N90" s="4">
        <f t="shared" si="4"/>
        <v>1.37315130830489</v>
      </c>
      <c r="O90" s="4">
        <f t="shared" si="5"/>
        <v>21.5535714285714</v>
      </c>
      <c r="P90" s="4">
        <v>15.3</v>
      </c>
      <c r="Q90" s="4">
        <v>3.36</v>
      </c>
      <c r="R90" s="4">
        <v>3.71</v>
      </c>
      <c r="S90" s="4">
        <v>15.02</v>
      </c>
      <c r="T90" s="4">
        <v>8</v>
      </c>
      <c r="U90" s="4">
        <v>49</v>
      </c>
      <c r="V90" s="4">
        <v>1</v>
      </c>
    </row>
    <row r="91" spans="1:22">
      <c r="A91" s="7" t="s">
        <v>108</v>
      </c>
      <c r="B91" s="4" t="s">
        <v>41</v>
      </c>
      <c r="C91" s="4">
        <v>76</v>
      </c>
      <c r="D91" s="9" t="s">
        <v>42</v>
      </c>
      <c r="E91" s="4" t="s">
        <v>29</v>
      </c>
      <c r="F91" s="4" t="s">
        <v>29</v>
      </c>
      <c r="G91" s="4" t="s">
        <v>29</v>
      </c>
      <c r="H91" s="4">
        <v>276.88</v>
      </c>
      <c r="I91" s="4">
        <v>35.23</v>
      </c>
      <c r="J91" s="4">
        <v>12.17</v>
      </c>
      <c r="K91" s="4">
        <v>1.02</v>
      </c>
      <c r="L91" s="4">
        <v>47</v>
      </c>
      <c r="M91" s="4">
        <f t="shared" si="3"/>
        <v>589.106382978723</v>
      </c>
      <c r="N91" s="4">
        <f t="shared" si="4"/>
        <v>22.7510271158587</v>
      </c>
      <c r="O91" s="4">
        <f t="shared" si="5"/>
        <v>271.450980392157</v>
      </c>
      <c r="P91" s="4">
        <v>23.8</v>
      </c>
      <c r="Q91" s="4">
        <v>1.39</v>
      </c>
      <c r="R91" s="4">
        <v>11.33</v>
      </c>
      <c r="S91" s="4"/>
      <c r="T91" s="4">
        <v>16</v>
      </c>
      <c r="U91" s="4">
        <v>49</v>
      </c>
      <c r="V91" s="4">
        <v>1</v>
      </c>
    </row>
    <row r="92" spans="1:22">
      <c r="A92" s="7" t="s">
        <v>108</v>
      </c>
      <c r="B92" s="4" t="s">
        <v>41</v>
      </c>
      <c r="C92" s="4">
        <v>76</v>
      </c>
      <c r="D92" s="9" t="s">
        <v>42</v>
      </c>
      <c r="E92" s="4" t="s">
        <v>29</v>
      </c>
      <c r="F92" s="4" t="s">
        <v>29</v>
      </c>
      <c r="G92" s="4" t="s">
        <v>29</v>
      </c>
      <c r="H92" s="4">
        <v>83.26</v>
      </c>
      <c r="K92" s="4">
        <v>3.46</v>
      </c>
      <c r="L92" s="4"/>
      <c r="M92" s="4" t="e">
        <f t="shared" si="3"/>
        <v>#DIV/0!</v>
      </c>
      <c r="N92" s="4" t="e">
        <f t="shared" si="4"/>
        <v>#DIV/0!</v>
      </c>
      <c r="O92" s="4">
        <f t="shared" si="5"/>
        <v>24.0635838150289</v>
      </c>
      <c r="P92" s="4">
        <v>25.8</v>
      </c>
      <c r="Q92" s="4">
        <v>2.02</v>
      </c>
      <c r="R92" s="4">
        <v>16.79</v>
      </c>
      <c r="S92" s="4"/>
      <c r="T92" s="4">
        <v>55</v>
      </c>
      <c r="U92" s="4">
        <v>49</v>
      </c>
      <c r="V92" s="4">
        <v>1</v>
      </c>
    </row>
    <row r="93" spans="1:22">
      <c r="A93" s="1" t="s">
        <v>109</v>
      </c>
      <c r="B93" s="2" t="s">
        <v>41</v>
      </c>
      <c r="C93" s="2">
        <v>74</v>
      </c>
      <c r="D93" s="9" t="s">
        <v>42</v>
      </c>
      <c r="E93" s="4" t="s">
        <v>29</v>
      </c>
      <c r="F93" s="4" t="s">
        <v>29</v>
      </c>
      <c r="G93" s="4" t="s">
        <v>29</v>
      </c>
      <c r="H93" s="2">
        <v>36.98</v>
      </c>
      <c r="I93" s="2">
        <v>33.58</v>
      </c>
      <c r="J93" s="2">
        <v>17.96</v>
      </c>
      <c r="K93" s="2">
        <v>3.33</v>
      </c>
      <c r="L93" s="2">
        <v>77</v>
      </c>
      <c r="M93" s="4">
        <f t="shared" si="3"/>
        <v>48.025974025974</v>
      </c>
      <c r="N93" s="4">
        <f t="shared" si="4"/>
        <v>2.05902004454343</v>
      </c>
      <c r="O93" s="4">
        <f t="shared" si="5"/>
        <v>11.1051051051051</v>
      </c>
      <c r="P93" s="2">
        <v>15.5</v>
      </c>
      <c r="Q93" s="2">
        <v>1.91</v>
      </c>
      <c r="R93" s="2">
        <v>7.82</v>
      </c>
      <c r="S93" s="2">
        <v>27.31</v>
      </c>
      <c r="T93" s="2">
        <v>48</v>
      </c>
      <c r="U93" s="4">
        <v>21</v>
      </c>
      <c r="V93" s="4">
        <v>1</v>
      </c>
    </row>
    <row r="94" spans="1:22">
      <c r="A94" s="1" t="s">
        <v>110</v>
      </c>
      <c r="B94" s="2" t="s">
        <v>41</v>
      </c>
      <c r="C94" s="2">
        <v>67</v>
      </c>
      <c r="D94" s="9" t="s">
        <v>42</v>
      </c>
      <c r="E94" s="4" t="s">
        <v>29</v>
      </c>
      <c r="F94" s="4" t="s">
        <v>29</v>
      </c>
      <c r="G94" s="4" t="s">
        <v>29</v>
      </c>
      <c r="H94" s="2">
        <v>10.76</v>
      </c>
      <c r="I94" s="2">
        <v>21.36</v>
      </c>
      <c r="J94" s="2">
        <v>19.71</v>
      </c>
      <c r="K94" s="2">
        <v>0.98</v>
      </c>
      <c r="L94" s="2">
        <v>88</v>
      </c>
      <c r="M94" s="4">
        <f t="shared" si="3"/>
        <v>12.2272727272727</v>
      </c>
      <c r="N94" s="4">
        <f t="shared" si="4"/>
        <v>0.545915778792491</v>
      </c>
      <c r="O94" s="4">
        <f t="shared" si="5"/>
        <v>10.9795918367347</v>
      </c>
      <c r="P94" s="2">
        <v>15.1</v>
      </c>
      <c r="Q94" s="2">
        <v>6.06</v>
      </c>
      <c r="R94" s="2">
        <v>11.81</v>
      </c>
      <c r="S94" s="2">
        <v>56.73</v>
      </c>
      <c r="T94" s="2">
        <v>14</v>
      </c>
      <c r="U94" s="4">
        <v>15</v>
      </c>
      <c r="V94" s="4">
        <v>1</v>
      </c>
    </row>
    <row r="95" spans="1:22">
      <c r="A95" s="1" t="s">
        <v>110</v>
      </c>
      <c r="B95" s="2" t="s">
        <v>41</v>
      </c>
      <c r="C95" s="2">
        <v>67</v>
      </c>
      <c r="D95" s="9" t="s">
        <v>42</v>
      </c>
      <c r="E95" s="4" t="s">
        <v>24</v>
      </c>
      <c r="F95" s="4" t="s">
        <v>31</v>
      </c>
      <c r="G95" s="2" t="s">
        <v>33</v>
      </c>
      <c r="H95" s="2">
        <v>8.87</v>
      </c>
      <c r="I95" s="2">
        <v>12.98</v>
      </c>
      <c r="J95" s="2">
        <v>45.37</v>
      </c>
      <c r="K95" s="2">
        <v>2.35</v>
      </c>
      <c r="L95" s="2">
        <v>66</v>
      </c>
      <c r="M95" s="4">
        <f t="shared" si="3"/>
        <v>13.4393939393939</v>
      </c>
      <c r="N95" s="4">
        <f t="shared" si="4"/>
        <v>0.195503636764382</v>
      </c>
      <c r="O95" s="4">
        <f t="shared" si="5"/>
        <v>3.77446808510638</v>
      </c>
      <c r="P95" s="2">
        <v>17.2</v>
      </c>
      <c r="Q95" s="2">
        <v>8.72</v>
      </c>
      <c r="R95" s="2">
        <v>3</v>
      </c>
      <c r="S95" s="2">
        <v>15.35</v>
      </c>
      <c r="T95" s="2">
        <v>222</v>
      </c>
      <c r="U95" s="4">
        <v>15</v>
      </c>
      <c r="V95" s="4">
        <v>1</v>
      </c>
    </row>
    <row r="96" spans="1:22">
      <c r="A96" s="7" t="s">
        <v>111</v>
      </c>
      <c r="B96" s="4" t="s">
        <v>41</v>
      </c>
      <c r="C96" s="4">
        <v>53</v>
      </c>
      <c r="D96" s="9" t="s">
        <v>42</v>
      </c>
      <c r="E96" s="4" t="s">
        <v>29</v>
      </c>
      <c r="F96" s="4" t="s">
        <v>29</v>
      </c>
      <c r="G96" s="4" t="s">
        <v>29</v>
      </c>
      <c r="H96" s="4">
        <v>120</v>
      </c>
      <c r="I96" s="4">
        <v>29.41</v>
      </c>
      <c r="J96" s="4">
        <v>21.54</v>
      </c>
      <c r="K96" s="4">
        <v>4.21</v>
      </c>
      <c r="L96" s="4">
        <v>38</v>
      </c>
      <c r="M96" s="4">
        <f t="shared" si="3"/>
        <v>315.789473684211</v>
      </c>
      <c r="N96" s="4">
        <f t="shared" si="4"/>
        <v>5.57103064066852</v>
      </c>
      <c r="O96" s="4">
        <f t="shared" si="5"/>
        <v>28.5035629453682</v>
      </c>
      <c r="P96" s="4">
        <v>18.3</v>
      </c>
      <c r="Q96" s="4">
        <v>1.05</v>
      </c>
      <c r="R96" s="4">
        <v>20</v>
      </c>
      <c r="S96" s="4">
        <v>107.86</v>
      </c>
      <c r="T96" s="4">
        <v>27</v>
      </c>
      <c r="U96" s="4">
        <v>20</v>
      </c>
      <c r="V96" s="4">
        <v>1</v>
      </c>
    </row>
    <row r="97" spans="1:22">
      <c r="A97" s="1" t="s">
        <v>112</v>
      </c>
      <c r="B97" s="2" t="s">
        <v>41</v>
      </c>
      <c r="C97" s="2">
        <v>78</v>
      </c>
      <c r="D97" s="9" t="s">
        <v>42</v>
      </c>
      <c r="E97" s="4" t="s">
        <v>24</v>
      </c>
      <c r="F97" s="4" t="s">
        <v>25</v>
      </c>
      <c r="G97" s="4" t="s">
        <v>25</v>
      </c>
      <c r="H97" s="2">
        <v>12.67</v>
      </c>
      <c r="I97" s="2">
        <v>25.83</v>
      </c>
      <c r="J97" s="2">
        <v>24.18</v>
      </c>
      <c r="K97" s="2">
        <v>2.49</v>
      </c>
      <c r="L97" s="2">
        <v>69</v>
      </c>
      <c r="M97" s="4">
        <f t="shared" si="3"/>
        <v>18.3623188405797</v>
      </c>
      <c r="N97" s="4">
        <f t="shared" si="4"/>
        <v>0.52398676592225</v>
      </c>
      <c r="O97" s="4">
        <f t="shared" si="5"/>
        <v>5.08835341365462</v>
      </c>
      <c r="P97" s="2">
        <v>13.7</v>
      </c>
      <c r="Q97" s="2">
        <v>3.77</v>
      </c>
      <c r="R97" s="2">
        <v>2.66</v>
      </c>
      <c r="S97" s="2">
        <v>8.08</v>
      </c>
      <c r="T97" s="2">
        <v>251</v>
      </c>
      <c r="U97" s="4">
        <v>40</v>
      </c>
      <c r="V97" s="4">
        <v>1</v>
      </c>
    </row>
    <row r="98" spans="1:22">
      <c r="A98" s="1" t="s">
        <v>113</v>
      </c>
      <c r="B98" s="2" t="s">
        <v>41</v>
      </c>
      <c r="C98" s="2">
        <v>81</v>
      </c>
      <c r="D98" s="9" t="s">
        <v>42</v>
      </c>
      <c r="E98" s="4" t="s">
        <v>29</v>
      </c>
      <c r="F98" s="4" t="s">
        <v>29</v>
      </c>
      <c r="G98" s="4" t="s">
        <v>29</v>
      </c>
      <c r="H98" s="2">
        <v>58.93</v>
      </c>
      <c r="I98" s="2">
        <v>36.5</v>
      </c>
      <c r="J98" s="2">
        <v>19.28</v>
      </c>
      <c r="K98" s="2">
        <v>0.57</v>
      </c>
      <c r="L98" s="2">
        <v>40</v>
      </c>
      <c r="M98" s="4">
        <f t="shared" si="3"/>
        <v>147.325</v>
      </c>
      <c r="N98" s="4">
        <f t="shared" si="4"/>
        <v>3.05653526970954</v>
      </c>
      <c r="O98" s="4">
        <f t="shared" si="5"/>
        <v>103.385964912281</v>
      </c>
      <c r="P98" s="2">
        <v>19.6</v>
      </c>
      <c r="Q98" s="2">
        <v>2.81</v>
      </c>
      <c r="R98" s="2">
        <v>13.96</v>
      </c>
      <c r="S98" s="2"/>
      <c r="T98" s="2">
        <v>43</v>
      </c>
      <c r="U98" s="4">
        <v>10</v>
      </c>
      <c r="V98" s="4">
        <v>1</v>
      </c>
    </row>
    <row r="99" spans="1:22">
      <c r="A99" s="7" t="s">
        <v>114</v>
      </c>
      <c r="B99" s="4" t="s">
        <v>45</v>
      </c>
      <c r="C99" s="4">
        <v>33</v>
      </c>
      <c r="D99" s="9" t="s">
        <v>42</v>
      </c>
      <c r="E99" s="4" t="s">
        <v>29</v>
      </c>
      <c r="F99" s="4" t="s">
        <v>29</v>
      </c>
      <c r="G99" s="4" t="s">
        <v>29</v>
      </c>
      <c r="H99" s="4">
        <v>10.14</v>
      </c>
      <c r="I99" s="4">
        <v>11.05</v>
      </c>
      <c r="J99" s="4">
        <v>20.18</v>
      </c>
      <c r="K99" s="4">
        <v>0.26</v>
      </c>
      <c r="L99" s="4">
        <v>24</v>
      </c>
      <c r="M99" s="4">
        <f t="shared" si="3"/>
        <v>42.25</v>
      </c>
      <c r="N99" s="4">
        <f t="shared" si="4"/>
        <v>0.502477700693756</v>
      </c>
      <c r="O99" s="4">
        <f t="shared" si="5"/>
        <v>39</v>
      </c>
      <c r="P99" s="4">
        <v>18.4</v>
      </c>
      <c r="Q99" s="4">
        <v>3.32</v>
      </c>
      <c r="R99" s="4">
        <v>4.45</v>
      </c>
      <c r="S99" s="4">
        <v>19.19</v>
      </c>
      <c r="T99" s="4">
        <v>3</v>
      </c>
      <c r="U99" s="4">
        <v>31</v>
      </c>
      <c r="V99" s="4">
        <v>0</v>
      </c>
    </row>
    <row r="100" spans="1:22">
      <c r="A100" s="7" t="s">
        <v>114</v>
      </c>
      <c r="B100" s="4" t="s">
        <v>45</v>
      </c>
      <c r="C100" s="4">
        <v>33</v>
      </c>
      <c r="D100" s="9" t="s">
        <v>42</v>
      </c>
      <c r="E100" s="4" t="s">
        <v>29</v>
      </c>
      <c r="F100" s="4" t="s">
        <v>29</v>
      </c>
      <c r="G100" s="4" t="s">
        <v>29</v>
      </c>
      <c r="H100" s="4">
        <v>13.97</v>
      </c>
      <c r="I100" s="4">
        <v>9.96</v>
      </c>
      <c r="J100" s="4">
        <v>14.44</v>
      </c>
      <c r="K100" s="4">
        <v>0.7</v>
      </c>
      <c r="L100" s="4">
        <v>76</v>
      </c>
      <c r="M100" s="4">
        <f t="shared" si="3"/>
        <v>18.3815789473684</v>
      </c>
      <c r="N100" s="4">
        <f t="shared" si="4"/>
        <v>0.967451523545706</v>
      </c>
      <c r="O100" s="4">
        <f t="shared" si="5"/>
        <v>19.9571428571429</v>
      </c>
      <c r="P100" s="4">
        <v>30.5</v>
      </c>
      <c r="Q100" s="4">
        <v>1.62</v>
      </c>
      <c r="R100" s="4">
        <v>7.64</v>
      </c>
      <c r="S100" s="4">
        <v>30.58</v>
      </c>
      <c r="T100" s="4">
        <v>59</v>
      </c>
      <c r="U100" s="4">
        <v>31</v>
      </c>
      <c r="V100" s="4">
        <v>0</v>
      </c>
    </row>
    <row r="101" spans="1:22">
      <c r="A101" s="7" t="s">
        <v>114</v>
      </c>
      <c r="B101" s="4" t="s">
        <v>45</v>
      </c>
      <c r="C101" s="4">
        <v>33</v>
      </c>
      <c r="D101" s="9" t="s">
        <v>42</v>
      </c>
      <c r="E101" s="4" t="s">
        <v>24</v>
      </c>
      <c r="F101" s="4" t="s">
        <v>31</v>
      </c>
      <c r="G101" s="2" t="s">
        <v>32</v>
      </c>
      <c r="H101" s="4">
        <v>4.55</v>
      </c>
      <c r="I101" s="4">
        <v>7.32</v>
      </c>
      <c r="J101" s="4">
        <v>5.07</v>
      </c>
      <c r="K101" s="4">
        <v>1.37</v>
      </c>
      <c r="L101" s="4">
        <v>74</v>
      </c>
      <c r="M101" s="4">
        <f t="shared" si="3"/>
        <v>6.14864864864865</v>
      </c>
      <c r="N101" s="4">
        <f t="shared" si="4"/>
        <v>0.897435897435897</v>
      </c>
      <c r="O101" s="4">
        <f t="shared" si="5"/>
        <v>3.32116788321168</v>
      </c>
      <c r="P101" s="4">
        <v>16.4</v>
      </c>
      <c r="Q101" s="4">
        <v>1.96</v>
      </c>
      <c r="R101" s="4">
        <v>14.18</v>
      </c>
      <c r="S101" s="4"/>
      <c r="T101" s="4">
        <v>63</v>
      </c>
      <c r="U101" s="4">
        <v>31</v>
      </c>
      <c r="V101" s="4">
        <v>0</v>
      </c>
    </row>
    <row r="102" spans="1:22">
      <c r="A102" s="7" t="s">
        <v>115</v>
      </c>
      <c r="B102" s="4" t="s">
        <v>41</v>
      </c>
      <c r="C102" s="4">
        <v>41</v>
      </c>
      <c r="D102" s="9" t="s">
        <v>42</v>
      </c>
      <c r="E102" s="4" t="s">
        <v>29</v>
      </c>
      <c r="F102" s="4" t="s">
        <v>29</v>
      </c>
      <c r="G102" s="4" t="s">
        <v>29</v>
      </c>
      <c r="H102" s="4">
        <v>9.55</v>
      </c>
      <c r="I102" s="4">
        <v>38.13</v>
      </c>
      <c r="J102" s="4">
        <v>21.44</v>
      </c>
      <c r="K102" s="4">
        <v>0.57</v>
      </c>
      <c r="L102" s="4">
        <v>51</v>
      </c>
      <c r="M102" s="4">
        <f t="shared" si="3"/>
        <v>18.7254901960784</v>
      </c>
      <c r="N102" s="4">
        <f t="shared" si="4"/>
        <v>0.445429104477612</v>
      </c>
      <c r="O102" s="4">
        <f t="shared" si="5"/>
        <v>16.7543859649123</v>
      </c>
      <c r="P102" s="4">
        <v>15.6</v>
      </c>
      <c r="Q102" s="4">
        <v>6.59</v>
      </c>
      <c r="R102" s="4">
        <v>3.02</v>
      </c>
      <c r="S102" s="4">
        <v>14.28</v>
      </c>
      <c r="T102" s="4">
        <v>46</v>
      </c>
      <c r="U102" s="4">
        <v>12</v>
      </c>
      <c r="V102" s="4">
        <v>1</v>
      </c>
    </row>
    <row r="103" spans="1:22">
      <c r="A103" s="7" t="s">
        <v>116</v>
      </c>
      <c r="B103" s="4" t="s">
        <v>45</v>
      </c>
      <c r="C103" s="4">
        <v>52</v>
      </c>
      <c r="D103" s="9" t="s">
        <v>42</v>
      </c>
      <c r="E103" s="4" t="s">
        <v>29</v>
      </c>
      <c r="F103" s="4" t="s">
        <v>29</v>
      </c>
      <c r="G103" s="4" t="s">
        <v>29</v>
      </c>
      <c r="H103" s="4">
        <v>42.82</v>
      </c>
      <c r="I103" s="4">
        <v>20.16</v>
      </c>
      <c r="J103" s="4">
        <v>23.89</v>
      </c>
      <c r="K103" s="4">
        <v>8.21</v>
      </c>
      <c r="L103" s="4"/>
      <c r="M103" s="4" t="e">
        <f t="shared" si="3"/>
        <v>#DIV/0!</v>
      </c>
      <c r="N103" s="4">
        <f t="shared" si="4"/>
        <v>1.79238174968606</v>
      </c>
      <c r="O103" s="4">
        <f t="shared" si="5"/>
        <v>5.21559074299635</v>
      </c>
      <c r="P103" s="4">
        <v>13.4</v>
      </c>
      <c r="Q103" s="4">
        <v>4.03</v>
      </c>
      <c r="R103" s="4">
        <v>23.23</v>
      </c>
      <c r="S103" s="4"/>
      <c r="T103" s="4">
        <v>26</v>
      </c>
      <c r="U103" s="4">
        <v>25</v>
      </c>
      <c r="V103" s="4">
        <v>0</v>
      </c>
    </row>
    <row r="104" spans="1:22">
      <c r="A104" s="7" t="s">
        <v>117</v>
      </c>
      <c r="B104" s="4" t="s">
        <v>41</v>
      </c>
      <c r="C104" s="4">
        <v>70</v>
      </c>
      <c r="D104" s="9" t="s">
        <v>42</v>
      </c>
      <c r="E104" s="4" t="s">
        <v>24</v>
      </c>
      <c r="F104" s="4" t="s">
        <v>31</v>
      </c>
      <c r="G104" s="2" t="s">
        <v>33</v>
      </c>
      <c r="H104" s="4">
        <v>4.14</v>
      </c>
      <c r="I104" s="4">
        <v>19.5</v>
      </c>
      <c r="J104" s="4">
        <v>23.53</v>
      </c>
      <c r="K104" s="4">
        <v>1.13</v>
      </c>
      <c r="L104" s="4"/>
      <c r="M104" s="4" t="e">
        <f t="shared" si="3"/>
        <v>#DIV/0!</v>
      </c>
      <c r="N104" s="4">
        <f t="shared" si="4"/>
        <v>0.175945601359966</v>
      </c>
      <c r="O104" s="4">
        <f t="shared" si="5"/>
        <v>3.66371681415929</v>
      </c>
      <c r="P104" s="4">
        <v>14.1</v>
      </c>
      <c r="Q104" s="4">
        <v>3.78</v>
      </c>
      <c r="R104" s="4">
        <v>4.14</v>
      </c>
      <c r="S104" s="4"/>
      <c r="T104" s="4">
        <v>189</v>
      </c>
      <c r="U104" s="4">
        <v>39</v>
      </c>
      <c r="V104" s="4">
        <v>1</v>
      </c>
    </row>
    <row r="105" spans="1:22">
      <c r="A105" s="7" t="s">
        <v>117</v>
      </c>
      <c r="B105" s="4" t="s">
        <v>41</v>
      </c>
      <c r="C105" s="4">
        <v>70</v>
      </c>
      <c r="D105" s="9" t="s">
        <v>42</v>
      </c>
      <c r="E105" s="4" t="s">
        <v>24</v>
      </c>
      <c r="F105" s="4" t="s">
        <v>31</v>
      </c>
      <c r="G105" s="2" t="s">
        <v>33</v>
      </c>
      <c r="H105" s="4">
        <v>2.89</v>
      </c>
      <c r="I105" s="4">
        <v>15.37</v>
      </c>
      <c r="J105" s="4">
        <v>17.42</v>
      </c>
      <c r="K105" s="4">
        <v>0.92</v>
      </c>
      <c r="L105" s="4">
        <v>51</v>
      </c>
      <c r="M105" s="4">
        <f t="shared" si="3"/>
        <v>5.66666666666667</v>
      </c>
      <c r="N105" s="4">
        <f t="shared" si="4"/>
        <v>0.165901262916188</v>
      </c>
      <c r="O105" s="4">
        <f t="shared" si="5"/>
        <v>3.14130434782609</v>
      </c>
      <c r="P105" s="4">
        <v>14.8</v>
      </c>
      <c r="Q105" s="4">
        <v>4.22</v>
      </c>
      <c r="R105" s="4">
        <v>2.52</v>
      </c>
      <c r="S105" s="4"/>
      <c r="T105" s="4">
        <v>172</v>
      </c>
      <c r="U105" s="4">
        <v>39</v>
      </c>
      <c r="V105" s="4">
        <v>1</v>
      </c>
    </row>
    <row r="106" spans="1:22">
      <c r="A106" s="7" t="s">
        <v>118</v>
      </c>
      <c r="B106" s="4" t="s">
        <v>41</v>
      </c>
      <c r="C106" s="4">
        <v>64</v>
      </c>
      <c r="D106" s="9" t="s">
        <v>42</v>
      </c>
      <c r="E106" s="4" t="s">
        <v>29</v>
      </c>
      <c r="F106" s="4" t="s">
        <v>29</v>
      </c>
      <c r="G106" s="4" t="s">
        <v>29</v>
      </c>
      <c r="H106" s="4">
        <v>27.2</v>
      </c>
      <c r="I106" s="4">
        <v>13.57</v>
      </c>
      <c r="J106" s="4">
        <v>17.9</v>
      </c>
      <c r="K106" s="4">
        <v>3.57</v>
      </c>
      <c r="L106" s="4">
        <v>41</v>
      </c>
      <c r="M106" s="4">
        <f t="shared" si="3"/>
        <v>66.3414634146341</v>
      </c>
      <c r="N106" s="4">
        <f t="shared" si="4"/>
        <v>1.5195530726257</v>
      </c>
      <c r="O106" s="4">
        <f t="shared" si="5"/>
        <v>7.61904761904762</v>
      </c>
      <c r="P106" s="4">
        <v>21.5</v>
      </c>
      <c r="Q106" s="4">
        <v>0.8</v>
      </c>
      <c r="R106" s="4">
        <v>13.36</v>
      </c>
      <c r="S106" s="4">
        <v>39.29</v>
      </c>
      <c r="T106" s="4">
        <v>23</v>
      </c>
      <c r="U106" s="4">
        <v>22</v>
      </c>
      <c r="V106" s="4">
        <v>1</v>
      </c>
    </row>
    <row r="107" spans="1:22">
      <c r="A107" s="1" t="s">
        <v>119</v>
      </c>
      <c r="B107" s="2" t="s">
        <v>45</v>
      </c>
      <c r="C107" s="2">
        <v>56</v>
      </c>
      <c r="D107" s="9" t="s">
        <v>35</v>
      </c>
      <c r="E107" s="4" t="s">
        <v>29</v>
      </c>
      <c r="F107" s="4" t="s">
        <v>29</v>
      </c>
      <c r="G107" s="4" t="s">
        <v>29</v>
      </c>
      <c r="H107" s="2">
        <v>17.41</v>
      </c>
      <c r="I107" s="2">
        <v>74.39</v>
      </c>
      <c r="J107" s="2">
        <v>8.06</v>
      </c>
      <c r="K107" s="2">
        <v>1.71</v>
      </c>
      <c r="L107" s="2"/>
      <c r="M107" s="4" t="e">
        <f t="shared" si="3"/>
        <v>#DIV/0!</v>
      </c>
      <c r="N107" s="4">
        <f t="shared" si="4"/>
        <v>2.16004962779156</v>
      </c>
      <c r="O107" s="4">
        <f t="shared" si="5"/>
        <v>10.1812865497076</v>
      </c>
      <c r="P107" s="2">
        <v>13.9</v>
      </c>
      <c r="Q107" s="2">
        <v>1.81</v>
      </c>
      <c r="R107" s="2">
        <v>18.12</v>
      </c>
      <c r="S107" s="2"/>
      <c r="T107" s="2">
        <v>38</v>
      </c>
      <c r="U107" s="4">
        <v>15</v>
      </c>
      <c r="V107" s="4">
        <v>0</v>
      </c>
    </row>
    <row r="108" spans="1:22">
      <c r="A108" s="7" t="s">
        <v>120</v>
      </c>
      <c r="B108" s="4" t="s">
        <v>41</v>
      </c>
      <c r="C108" s="4">
        <v>47</v>
      </c>
      <c r="D108" s="9" t="s">
        <v>28</v>
      </c>
      <c r="E108" s="4" t="s">
        <v>24</v>
      </c>
      <c r="F108" s="4" t="s">
        <v>25</v>
      </c>
      <c r="G108" s="4" t="s">
        <v>25</v>
      </c>
      <c r="H108" s="4">
        <v>4</v>
      </c>
      <c r="I108" s="4">
        <v>13.72</v>
      </c>
      <c r="J108" s="4">
        <v>6.21</v>
      </c>
      <c r="K108" s="4">
        <v>1.2</v>
      </c>
      <c r="L108" s="4">
        <v>109</v>
      </c>
      <c r="M108" s="4">
        <f t="shared" si="3"/>
        <v>3.6697247706422</v>
      </c>
      <c r="N108" s="4">
        <f t="shared" si="4"/>
        <v>0.644122383252818</v>
      </c>
      <c r="O108" s="4">
        <f t="shared" si="5"/>
        <v>3.33333333333333</v>
      </c>
      <c r="P108" s="4">
        <v>14.5</v>
      </c>
      <c r="Q108" s="4">
        <v>11.45</v>
      </c>
      <c r="R108" s="4">
        <v>1.42</v>
      </c>
      <c r="S108" s="4">
        <v>7.25</v>
      </c>
      <c r="T108" s="4">
        <v>173</v>
      </c>
      <c r="U108" s="4">
        <v>22</v>
      </c>
      <c r="V108" s="4">
        <v>1</v>
      </c>
    </row>
    <row r="109" spans="1:22">
      <c r="A109" s="1" t="s">
        <v>121</v>
      </c>
      <c r="B109" s="2" t="s">
        <v>41</v>
      </c>
      <c r="C109" s="2">
        <v>79</v>
      </c>
      <c r="D109" s="9" t="s">
        <v>42</v>
      </c>
      <c r="E109" s="4" t="s">
        <v>24</v>
      </c>
      <c r="F109" s="4" t="s">
        <v>25</v>
      </c>
      <c r="G109" s="4" t="s">
        <v>25</v>
      </c>
      <c r="H109" s="2">
        <v>1.56</v>
      </c>
      <c r="I109" s="2">
        <v>12.05</v>
      </c>
      <c r="J109" s="2">
        <v>11.6</v>
      </c>
      <c r="K109" s="2">
        <v>0.46</v>
      </c>
      <c r="L109" s="2">
        <v>87</v>
      </c>
      <c r="M109" s="4">
        <f t="shared" si="3"/>
        <v>1.79310344827586</v>
      </c>
      <c r="N109" s="4">
        <f t="shared" si="4"/>
        <v>0.13448275862069</v>
      </c>
      <c r="O109" s="4">
        <f t="shared" si="5"/>
        <v>3.39130434782609</v>
      </c>
      <c r="P109" s="2">
        <v>16.4</v>
      </c>
      <c r="Q109" s="2">
        <v>6.16</v>
      </c>
      <c r="R109" s="2">
        <v>0.58</v>
      </c>
      <c r="S109" s="2">
        <v>3.69</v>
      </c>
      <c r="T109" s="2">
        <v>160</v>
      </c>
      <c r="U109" s="4">
        <v>19</v>
      </c>
      <c r="V109" s="4">
        <v>0</v>
      </c>
    </row>
    <row r="110" spans="1:22">
      <c r="A110" s="7" t="s">
        <v>122</v>
      </c>
      <c r="B110" s="4" t="s">
        <v>41</v>
      </c>
      <c r="C110" s="4">
        <v>49</v>
      </c>
      <c r="D110" s="9" t="s">
        <v>42</v>
      </c>
      <c r="E110" s="4" t="s">
        <v>24</v>
      </c>
      <c r="F110" s="4" t="s">
        <v>25</v>
      </c>
      <c r="G110" s="4" t="s">
        <v>25</v>
      </c>
      <c r="H110" s="4">
        <v>4.85</v>
      </c>
      <c r="I110" s="4">
        <v>10.97</v>
      </c>
      <c r="J110" s="4">
        <v>10.98</v>
      </c>
      <c r="K110" s="4">
        <v>1.2</v>
      </c>
      <c r="L110" s="4">
        <v>87</v>
      </c>
      <c r="M110" s="4">
        <f t="shared" si="3"/>
        <v>5.57471264367816</v>
      </c>
      <c r="N110" s="4">
        <f t="shared" si="4"/>
        <v>0.441712204007286</v>
      </c>
      <c r="O110" s="4">
        <f t="shared" si="5"/>
        <v>4.04166666666667</v>
      </c>
      <c r="P110" s="4">
        <v>15.1</v>
      </c>
      <c r="Q110" s="4">
        <v>8</v>
      </c>
      <c r="R110" s="4">
        <v>8.01</v>
      </c>
      <c r="S110" s="4">
        <v>30.9</v>
      </c>
      <c r="T110" s="4">
        <v>366</v>
      </c>
      <c r="U110" s="4">
        <v>33</v>
      </c>
      <c r="V110" s="4">
        <v>0</v>
      </c>
    </row>
    <row r="111" spans="1:22">
      <c r="A111" s="7" t="s">
        <v>123</v>
      </c>
      <c r="B111" s="4" t="s">
        <v>45</v>
      </c>
      <c r="C111" s="4">
        <v>73</v>
      </c>
      <c r="D111" s="9" t="s">
        <v>42</v>
      </c>
      <c r="E111" s="4" t="s">
        <v>29</v>
      </c>
      <c r="F111" s="4" t="s">
        <v>29</v>
      </c>
      <c r="G111" s="4" t="s">
        <v>29</v>
      </c>
      <c r="H111" s="4">
        <v>4.67</v>
      </c>
      <c r="I111" s="4">
        <v>36.84</v>
      </c>
      <c r="J111" s="4">
        <v>41.86</v>
      </c>
      <c r="K111" s="4">
        <v>0.38</v>
      </c>
      <c r="L111" s="4">
        <v>77</v>
      </c>
      <c r="M111" s="4">
        <f t="shared" si="3"/>
        <v>6.06493506493506</v>
      </c>
      <c r="N111" s="4">
        <f t="shared" si="4"/>
        <v>0.111562350692785</v>
      </c>
      <c r="O111" s="4">
        <f t="shared" si="5"/>
        <v>12.2894736842105</v>
      </c>
      <c r="P111" s="4">
        <v>26.3</v>
      </c>
      <c r="Q111" s="4">
        <v>3.91</v>
      </c>
      <c r="R111" s="4">
        <v>1.14</v>
      </c>
      <c r="S111" s="4">
        <v>4.32</v>
      </c>
      <c r="T111" s="4">
        <v>37</v>
      </c>
      <c r="U111" s="4">
        <v>2</v>
      </c>
      <c r="V111" s="4">
        <v>1</v>
      </c>
    </row>
    <row r="112" spans="1:22">
      <c r="A112" s="7" t="s">
        <v>124</v>
      </c>
      <c r="B112" s="4" t="s">
        <v>41</v>
      </c>
      <c r="C112" s="4">
        <v>35</v>
      </c>
      <c r="D112" s="9" t="s">
        <v>35</v>
      </c>
      <c r="E112" s="4" t="s">
        <v>24</v>
      </c>
      <c r="F112" s="4" t="s">
        <v>25</v>
      </c>
      <c r="G112" s="4" t="s">
        <v>25</v>
      </c>
      <c r="H112" s="4">
        <v>15.27</v>
      </c>
      <c r="I112" s="4">
        <v>15.12</v>
      </c>
      <c r="J112" s="4">
        <v>8.87</v>
      </c>
      <c r="K112" s="4">
        <v>1.19</v>
      </c>
      <c r="L112" s="4">
        <v>68</v>
      </c>
      <c r="M112" s="4">
        <f t="shared" si="3"/>
        <v>22.4558823529412</v>
      </c>
      <c r="N112" s="4">
        <f t="shared" si="4"/>
        <v>1.72153325817362</v>
      </c>
      <c r="O112" s="4">
        <f t="shared" si="5"/>
        <v>12.8319327731092</v>
      </c>
      <c r="P112" s="4">
        <v>13.3</v>
      </c>
      <c r="Q112" s="4">
        <v>10.11</v>
      </c>
      <c r="R112" s="4">
        <v>7.29</v>
      </c>
      <c r="S112" s="4">
        <v>32.38</v>
      </c>
      <c r="T112" s="4">
        <v>219</v>
      </c>
      <c r="U112" s="4">
        <v>24</v>
      </c>
      <c r="V112" s="4">
        <v>0</v>
      </c>
    </row>
    <row r="113" spans="1:22">
      <c r="A113" s="1" t="s">
        <v>125</v>
      </c>
      <c r="B113" s="2" t="s">
        <v>45</v>
      </c>
      <c r="C113" s="2">
        <v>49</v>
      </c>
      <c r="D113" s="9" t="s">
        <v>42</v>
      </c>
      <c r="E113" s="4" t="s">
        <v>29</v>
      </c>
      <c r="F113" s="4" t="s">
        <v>29</v>
      </c>
      <c r="G113" s="4" t="s">
        <v>29</v>
      </c>
      <c r="H113" s="2">
        <v>21.48</v>
      </c>
      <c r="I113" s="2">
        <v>37</v>
      </c>
      <c r="J113" s="2">
        <v>35.27</v>
      </c>
      <c r="K113" s="2">
        <v>1.17</v>
      </c>
      <c r="L113" s="2">
        <v>58</v>
      </c>
      <c r="M113" s="4">
        <f t="shared" si="3"/>
        <v>37.0344827586207</v>
      </c>
      <c r="N113" s="4">
        <f t="shared" si="4"/>
        <v>0.60901616104338</v>
      </c>
      <c r="O113" s="4">
        <f t="shared" si="5"/>
        <v>18.3589743589744</v>
      </c>
      <c r="P113" s="2">
        <v>31.9</v>
      </c>
      <c r="Q113" s="2">
        <v>3.23</v>
      </c>
      <c r="R113" s="2">
        <v>10.86</v>
      </c>
      <c r="S113" s="2">
        <v>55.93</v>
      </c>
      <c r="T113" s="2">
        <v>17</v>
      </c>
      <c r="U113" s="4">
        <v>2</v>
      </c>
      <c r="V113" s="4">
        <v>1</v>
      </c>
    </row>
    <row r="114" ht="13.9" spans="1:22">
      <c r="A114" s="7" t="s">
        <v>126</v>
      </c>
      <c r="B114" s="4" t="s">
        <v>41</v>
      </c>
      <c r="C114" s="4">
        <v>82</v>
      </c>
      <c r="D114" s="9" t="s">
        <v>61</v>
      </c>
      <c r="E114" s="4" t="s">
        <v>24</v>
      </c>
      <c r="F114" s="4" t="s">
        <v>25</v>
      </c>
      <c r="G114" s="4" t="s">
        <v>25</v>
      </c>
      <c r="H114" s="4">
        <v>4.75</v>
      </c>
      <c r="I114" s="4">
        <v>13.32</v>
      </c>
      <c r="J114" s="4">
        <v>5.98</v>
      </c>
      <c r="K114" s="4">
        <v>1.37</v>
      </c>
      <c r="L114" s="4">
        <v>75</v>
      </c>
      <c r="M114" s="4">
        <f t="shared" si="3"/>
        <v>6.33333333333333</v>
      </c>
      <c r="N114" s="4">
        <f t="shared" si="4"/>
        <v>0.794314381270903</v>
      </c>
      <c r="O114" s="4">
        <f t="shared" si="5"/>
        <v>3.46715328467153</v>
      </c>
      <c r="P114" s="4">
        <v>15.1</v>
      </c>
      <c r="Q114" s="4">
        <v>6.13</v>
      </c>
      <c r="R114" s="4">
        <v>2.92</v>
      </c>
      <c r="S114" s="4">
        <v>12.58</v>
      </c>
      <c r="T114" s="4">
        <v>286</v>
      </c>
      <c r="U114" s="4">
        <v>215</v>
      </c>
      <c r="V114" s="4">
        <v>1</v>
      </c>
    </row>
    <row r="115" spans="1:22">
      <c r="A115" s="7" t="s">
        <v>127</v>
      </c>
      <c r="B115" s="4" t="s">
        <v>41</v>
      </c>
      <c r="C115" s="4">
        <v>72</v>
      </c>
      <c r="D115" s="9" t="s">
        <v>28</v>
      </c>
      <c r="E115" s="4" t="s">
        <v>24</v>
      </c>
      <c r="F115" s="4" t="s">
        <v>25</v>
      </c>
      <c r="G115" s="4" t="s">
        <v>25</v>
      </c>
      <c r="H115" s="4">
        <v>2.79</v>
      </c>
      <c r="I115" s="4">
        <v>40.8</v>
      </c>
      <c r="J115" s="4">
        <v>12.96</v>
      </c>
      <c r="K115" s="4">
        <v>2.05</v>
      </c>
      <c r="L115" s="4"/>
      <c r="M115" s="4" t="e">
        <f t="shared" si="3"/>
        <v>#DIV/0!</v>
      </c>
      <c r="N115" s="4">
        <f t="shared" si="4"/>
        <v>0.215277777777778</v>
      </c>
      <c r="O115" s="4">
        <f t="shared" si="5"/>
        <v>1.3609756097561</v>
      </c>
      <c r="P115" s="4">
        <v>15.1</v>
      </c>
      <c r="Q115" s="4">
        <v>5.45</v>
      </c>
      <c r="R115" s="4">
        <v>2.1</v>
      </c>
      <c r="S115" s="4"/>
      <c r="T115" s="4">
        <v>237</v>
      </c>
      <c r="U115" s="4">
        <v>16</v>
      </c>
      <c r="V115" s="4">
        <v>1</v>
      </c>
    </row>
    <row r="116" spans="1:22">
      <c r="A116" s="1" t="s">
        <v>128</v>
      </c>
      <c r="B116" s="2" t="s">
        <v>41</v>
      </c>
      <c r="C116" s="2">
        <v>58</v>
      </c>
      <c r="D116" s="9" t="s">
        <v>42</v>
      </c>
      <c r="E116" s="4" t="s">
        <v>24</v>
      </c>
      <c r="F116" s="4" t="s">
        <v>25</v>
      </c>
      <c r="G116" s="4" t="s">
        <v>25</v>
      </c>
      <c r="H116" s="2">
        <v>13.84</v>
      </c>
      <c r="I116" s="2">
        <v>14.34</v>
      </c>
      <c r="J116" s="2">
        <v>77.01</v>
      </c>
      <c r="K116" s="2">
        <v>1.23</v>
      </c>
      <c r="L116" s="2">
        <v>76</v>
      </c>
      <c r="M116" s="4">
        <f t="shared" si="3"/>
        <v>18.2105263157895</v>
      </c>
      <c r="N116" s="4">
        <f t="shared" si="4"/>
        <v>0.179716919880535</v>
      </c>
      <c r="O116" s="4">
        <f t="shared" si="5"/>
        <v>11.2520325203252</v>
      </c>
      <c r="P116" s="2">
        <v>15.6</v>
      </c>
      <c r="Q116" s="2">
        <v>5.38</v>
      </c>
      <c r="R116" s="2">
        <v>4.1</v>
      </c>
      <c r="S116" s="2">
        <v>16.88</v>
      </c>
      <c r="T116" s="2">
        <v>272</v>
      </c>
      <c r="U116" s="4">
        <v>43</v>
      </c>
      <c r="V116" s="4">
        <v>1</v>
      </c>
    </row>
    <row r="117" spans="1:22">
      <c r="A117" s="1" t="s">
        <v>129</v>
      </c>
      <c r="B117" s="2" t="s">
        <v>41</v>
      </c>
      <c r="C117" s="2">
        <v>73</v>
      </c>
      <c r="D117" s="9" t="s">
        <v>42</v>
      </c>
      <c r="E117" s="4" t="s">
        <v>29</v>
      </c>
      <c r="F117" s="4" t="s">
        <v>29</v>
      </c>
      <c r="G117" s="4" t="s">
        <v>29</v>
      </c>
      <c r="H117" s="2">
        <v>21.35</v>
      </c>
      <c r="I117" s="2">
        <v>33.09</v>
      </c>
      <c r="J117" s="2">
        <v>27.5</v>
      </c>
      <c r="K117" s="2">
        <v>2.64</v>
      </c>
      <c r="L117" s="2">
        <v>97</v>
      </c>
      <c r="M117" s="4">
        <f t="shared" si="3"/>
        <v>22.0103092783505</v>
      </c>
      <c r="N117" s="4">
        <f t="shared" si="4"/>
        <v>0.776363636363636</v>
      </c>
      <c r="O117" s="4">
        <f t="shared" si="5"/>
        <v>8.08712121212121</v>
      </c>
      <c r="P117" s="2">
        <v>21.2</v>
      </c>
      <c r="Q117" s="2">
        <v>4.24</v>
      </c>
      <c r="R117" s="2">
        <v>9.33</v>
      </c>
      <c r="S117" s="2">
        <v>27.56</v>
      </c>
      <c r="T117" s="2">
        <v>75</v>
      </c>
      <c r="U117" s="4">
        <v>25</v>
      </c>
      <c r="V117" s="4">
        <v>0</v>
      </c>
    </row>
    <row r="118" spans="1:22">
      <c r="A118" s="1" t="s">
        <v>130</v>
      </c>
      <c r="B118" s="2" t="s">
        <v>41</v>
      </c>
      <c r="C118" s="2">
        <v>72</v>
      </c>
      <c r="D118" s="9" t="s">
        <v>28</v>
      </c>
      <c r="E118" s="4" t="s">
        <v>29</v>
      </c>
      <c r="F118" s="4" t="s">
        <v>29</v>
      </c>
      <c r="G118" s="4" t="s">
        <v>29</v>
      </c>
      <c r="H118" s="2">
        <v>4.66</v>
      </c>
      <c r="I118" s="2">
        <v>14.48</v>
      </c>
      <c r="J118" s="2">
        <v>13.41</v>
      </c>
      <c r="K118" s="2">
        <v>1.09</v>
      </c>
      <c r="L118" s="2">
        <v>52</v>
      </c>
      <c r="M118" s="4">
        <f t="shared" si="3"/>
        <v>8.96153846153846</v>
      </c>
      <c r="N118" s="4">
        <f t="shared" si="4"/>
        <v>0.347501864280388</v>
      </c>
      <c r="O118" s="4">
        <f t="shared" si="5"/>
        <v>4.27522935779816</v>
      </c>
      <c r="P118" s="2">
        <v>18.2</v>
      </c>
      <c r="Q118" s="2">
        <v>3.71</v>
      </c>
      <c r="R118" s="2">
        <v>5.99</v>
      </c>
      <c r="S118" s="2">
        <v>20</v>
      </c>
      <c r="T118" s="2">
        <v>66</v>
      </c>
      <c r="U118" s="4">
        <v>25</v>
      </c>
      <c r="V118" s="4">
        <v>0</v>
      </c>
    </row>
    <row r="119" ht="13.9" spans="1:22">
      <c r="A119" s="7" t="s">
        <v>131</v>
      </c>
      <c r="B119" s="4" t="s">
        <v>41</v>
      </c>
      <c r="C119" s="4">
        <v>50</v>
      </c>
      <c r="D119" s="9" t="s">
        <v>61</v>
      </c>
      <c r="E119" s="4" t="s">
        <v>24</v>
      </c>
      <c r="F119" s="4" t="s">
        <v>25</v>
      </c>
      <c r="G119" s="4" t="s">
        <v>25</v>
      </c>
      <c r="H119" s="4">
        <v>3.05</v>
      </c>
      <c r="I119" s="4">
        <v>10.28</v>
      </c>
      <c r="J119" s="4">
        <v>7.97</v>
      </c>
      <c r="K119" s="4">
        <v>0.86</v>
      </c>
      <c r="L119" s="4">
        <v>102</v>
      </c>
      <c r="M119" s="4">
        <f t="shared" si="3"/>
        <v>2.99019607843137</v>
      </c>
      <c r="N119" s="4">
        <f t="shared" si="4"/>
        <v>0.382685069008783</v>
      </c>
      <c r="O119" s="4">
        <f t="shared" si="5"/>
        <v>3.54651162790698</v>
      </c>
      <c r="P119" s="4">
        <v>14.3</v>
      </c>
      <c r="Q119" s="4">
        <v>5.64</v>
      </c>
      <c r="R119" s="4">
        <v>0.72</v>
      </c>
      <c r="S119" s="4">
        <v>2.68</v>
      </c>
      <c r="T119" s="4">
        <v>350</v>
      </c>
      <c r="U119" s="4">
        <v>14</v>
      </c>
      <c r="V119" s="4">
        <v>1</v>
      </c>
    </row>
    <row r="120" spans="1:22">
      <c r="A120" s="7" t="s">
        <v>132</v>
      </c>
      <c r="B120" s="4" t="s">
        <v>41</v>
      </c>
      <c r="C120" s="4">
        <v>70</v>
      </c>
      <c r="D120" s="9" t="s">
        <v>36</v>
      </c>
      <c r="E120" s="4" t="s">
        <v>29</v>
      </c>
      <c r="F120" s="4" t="s">
        <v>29</v>
      </c>
      <c r="G120" s="4" t="s">
        <v>29</v>
      </c>
      <c r="H120" s="4">
        <v>7.94</v>
      </c>
      <c r="I120" s="4">
        <v>16.64</v>
      </c>
      <c r="J120" s="4">
        <v>11.68</v>
      </c>
      <c r="K120" s="4">
        <v>0.83</v>
      </c>
      <c r="L120" s="4">
        <v>48</v>
      </c>
      <c r="M120" s="4">
        <f t="shared" si="3"/>
        <v>16.5416666666667</v>
      </c>
      <c r="N120" s="4">
        <f t="shared" si="4"/>
        <v>0.679794520547945</v>
      </c>
      <c r="O120" s="4">
        <f t="shared" si="5"/>
        <v>9.56626506024097</v>
      </c>
      <c r="P120" s="4">
        <v>16.7</v>
      </c>
      <c r="Q120" s="4">
        <v>0.97</v>
      </c>
      <c r="R120" s="4">
        <v>8.01</v>
      </c>
      <c r="S120" s="4">
        <v>33.69</v>
      </c>
      <c r="T120" s="4">
        <v>48</v>
      </c>
      <c r="U120" s="4">
        <v>13</v>
      </c>
      <c r="V120" s="4">
        <v>1</v>
      </c>
    </row>
    <row r="121" spans="1:22">
      <c r="A121" s="7" t="s">
        <v>133</v>
      </c>
      <c r="B121" s="4" t="s">
        <v>41</v>
      </c>
      <c r="C121" s="4">
        <v>74</v>
      </c>
      <c r="D121" s="9" t="s">
        <v>36</v>
      </c>
      <c r="E121" s="4" t="s">
        <v>24</v>
      </c>
      <c r="F121" s="4" t="s">
        <v>25</v>
      </c>
      <c r="G121" s="4" t="s">
        <v>25</v>
      </c>
      <c r="H121" s="4">
        <v>11.94</v>
      </c>
      <c r="I121" s="4">
        <v>14.29</v>
      </c>
      <c r="J121" s="4">
        <v>11.83</v>
      </c>
      <c r="K121" s="4">
        <v>1.81</v>
      </c>
      <c r="L121" s="4">
        <v>47</v>
      </c>
      <c r="M121" s="4">
        <f t="shared" si="3"/>
        <v>25.4042553191489</v>
      </c>
      <c r="N121" s="4">
        <f t="shared" si="4"/>
        <v>1.00929839391378</v>
      </c>
      <c r="O121" s="4">
        <f t="shared" si="5"/>
        <v>6.59668508287293</v>
      </c>
      <c r="P121" s="4">
        <v>17</v>
      </c>
      <c r="Q121" s="4">
        <v>6.24</v>
      </c>
      <c r="R121" s="4">
        <v>17.74</v>
      </c>
      <c r="S121" s="4">
        <v>42.84</v>
      </c>
      <c r="T121" s="4">
        <v>131</v>
      </c>
      <c r="U121" s="4">
        <v>19</v>
      </c>
      <c r="V121" s="4">
        <v>0</v>
      </c>
    </row>
    <row r="122" ht="13.9" spans="1:22">
      <c r="A122" s="1" t="s">
        <v>134</v>
      </c>
      <c r="B122" s="2" t="s">
        <v>41</v>
      </c>
      <c r="C122" s="2">
        <v>48</v>
      </c>
      <c r="D122" s="9" t="s">
        <v>61</v>
      </c>
      <c r="E122" s="4" t="s">
        <v>24</v>
      </c>
      <c r="F122" s="4" t="s">
        <v>25</v>
      </c>
      <c r="G122" s="4" t="s">
        <v>25</v>
      </c>
      <c r="H122" s="2">
        <v>19.1</v>
      </c>
      <c r="I122" s="2">
        <v>32.74</v>
      </c>
      <c r="J122" s="2">
        <v>5.44</v>
      </c>
      <c r="K122" s="2">
        <v>1.37</v>
      </c>
      <c r="L122" s="2">
        <v>89</v>
      </c>
      <c r="M122" s="4">
        <f t="shared" si="3"/>
        <v>21.4606741573034</v>
      </c>
      <c r="N122" s="4">
        <f t="shared" si="4"/>
        <v>3.51102941176471</v>
      </c>
      <c r="O122" s="4">
        <f t="shared" si="5"/>
        <v>13.9416058394161</v>
      </c>
      <c r="P122" s="2">
        <v>17.7</v>
      </c>
      <c r="Q122" s="2">
        <v>3.83</v>
      </c>
      <c r="R122" s="2">
        <v>18.47</v>
      </c>
      <c r="S122" s="2">
        <v>105.39</v>
      </c>
      <c r="T122" s="2">
        <v>131</v>
      </c>
      <c r="U122" s="4">
        <v>20</v>
      </c>
      <c r="V122" s="4">
        <v>1</v>
      </c>
    </row>
    <row r="123" spans="1:22">
      <c r="A123" s="7" t="s">
        <v>135</v>
      </c>
      <c r="B123" s="4" t="s">
        <v>45</v>
      </c>
      <c r="C123" s="4">
        <v>62</v>
      </c>
      <c r="D123" s="9" t="s">
        <v>42</v>
      </c>
      <c r="E123" s="4" t="s">
        <v>24</v>
      </c>
      <c r="F123" s="4" t="s">
        <v>25</v>
      </c>
      <c r="G123" s="4" t="s">
        <v>25</v>
      </c>
      <c r="H123" s="4">
        <v>28.86</v>
      </c>
      <c r="I123" s="4">
        <v>32.62</v>
      </c>
      <c r="J123" s="4">
        <v>30.93</v>
      </c>
      <c r="K123" s="4">
        <v>6.33</v>
      </c>
      <c r="L123" s="4">
        <v>34</v>
      </c>
      <c r="M123" s="4">
        <f t="shared" si="3"/>
        <v>84.8823529411765</v>
      </c>
      <c r="N123" s="4">
        <f t="shared" si="4"/>
        <v>0.933074684772066</v>
      </c>
      <c r="O123" s="4">
        <f t="shared" si="5"/>
        <v>4.55924170616114</v>
      </c>
      <c r="P123" s="4">
        <v>16.4</v>
      </c>
      <c r="Q123" s="4">
        <v>3.34</v>
      </c>
      <c r="R123" s="4">
        <v>15.53</v>
      </c>
      <c r="S123" s="4">
        <v>52.16</v>
      </c>
      <c r="T123" s="4">
        <v>101</v>
      </c>
      <c r="U123" s="4">
        <v>39</v>
      </c>
      <c r="V123" s="4">
        <v>1</v>
      </c>
    </row>
    <row r="124" spans="1:22">
      <c r="A124" s="7" t="s">
        <v>136</v>
      </c>
      <c r="B124" s="4" t="s">
        <v>41</v>
      </c>
      <c r="C124" s="4">
        <v>49</v>
      </c>
      <c r="D124" s="9" t="s">
        <v>42</v>
      </c>
      <c r="E124" s="4" t="s">
        <v>24</v>
      </c>
      <c r="F124" s="4" t="s">
        <v>31</v>
      </c>
      <c r="G124" s="2" t="s">
        <v>32</v>
      </c>
      <c r="H124" s="4">
        <v>1.66</v>
      </c>
      <c r="I124" s="4">
        <v>13.99</v>
      </c>
      <c r="J124" s="4">
        <v>12.22</v>
      </c>
      <c r="K124" s="4">
        <v>1.56</v>
      </c>
      <c r="L124" s="4"/>
      <c r="M124" s="4" t="e">
        <f t="shared" si="3"/>
        <v>#DIV/0!</v>
      </c>
      <c r="N124" s="4">
        <f t="shared" si="4"/>
        <v>0.135842880523732</v>
      </c>
      <c r="O124" s="4">
        <f t="shared" si="5"/>
        <v>1.06410256410256</v>
      </c>
      <c r="P124" s="4">
        <v>19</v>
      </c>
      <c r="Q124" s="4">
        <v>6.28</v>
      </c>
      <c r="R124" s="4">
        <v>2.89</v>
      </c>
      <c r="S124" s="4">
        <v>9.54</v>
      </c>
      <c r="T124" s="4">
        <v>193</v>
      </c>
      <c r="U124" s="4">
        <v>27</v>
      </c>
      <c r="V124" s="4">
        <v>0</v>
      </c>
    </row>
    <row r="125" spans="1:22">
      <c r="A125" s="7" t="s">
        <v>137</v>
      </c>
      <c r="B125" s="4" t="s">
        <v>41</v>
      </c>
      <c r="C125" s="4">
        <v>66</v>
      </c>
      <c r="D125" s="9" t="s">
        <v>42</v>
      </c>
      <c r="E125" s="4" t="s">
        <v>24</v>
      </c>
      <c r="F125" s="4" t="s">
        <v>25</v>
      </c>
      <c r="G125" s="4" t="s">
        <v>25</v>
      </c>
      <c r="H125" s="4">
        <v>5.22</v>
      </c>
      <c r="I125" s="4">
        <v>11.16</v>
      </c>
      <c r="J125" s="4">
        <v>6.62</v>
      </c>
      <c r="K125" s="4">
        <v>0.2</v>
      </c>
      <c r="L125" s="4">
        <v>62</v>
      </c>
      <c r="M125" s="4">
        <f t="shared" si="3"/>
        <v>8.41935483870968</v>
      </c>
      <c r="N125" s="4">
        <f t="shared" si="4"/>
        <v>0.788519637462236</v>
      </c>
      <c r="O125" s="4">
        <f t="shared" si="5"/>
        <v>26.1</v>
      </c>
      <c r="P125" s="4">
        <v>15.7</v>
      </c>
      <c r="Q125" s="4">
        <v>4.21</v>
      </c>
      <c r="R125" s="4">
        <v>3.51</v>
      </c>
      <c r="S125" s="4">
        <v>9.45</v>
      </c>
      <c r="T125" s="4">
        <v>215</v>
      </c>
      <c r="U125" s="4">
        <v>12</v>
      </c>
      <c r="V125" s="4">
        <v>0</v>
      </c>
    </row>
    <row r="126" spans="1:22">
      <c r="A126" s="7" t="s">
        <v>138</v>
      </c>
      <c r="B126" s="4" t="s">
        <v>45</v>
      </c>
      <c r="C126" s="4">
        <v>62</v>
      </c>
      <c r="D126" s="9" t="s">
        <v>36</v>
      </c>
      <c r="E126" s="4" t="s">
        <v>24</v>
      </c>
      <c r="F126" s="4" t="s">
        <v>25</v>
      </c>
      <c r="G126" s="4" t="s">
        <v>25</v>
      </c>
      <c r="H126" s="4">
        <v>7.92</v>
      </c>
      <c r="I126" s="4">
        <v>11.74</v>
      </c>
      <c r="J126" s="4">
        <v>18.87</v>
      </c>
      <c r="K126" s="4">
        <v>1.39</v>
      </c>
      <c r="L126" s="4">
        <v>106</v>
      </c>
      <c r="M126" s="4">
        <f t="shared" si="3"/>
        <v>7.47169811320755</v>
      </c>
      <c r="N126" s="4">
        <f t="shared" si="4"/>
        <v>0.419713831478537</v>
      </c>
      <c r="O126" s="4">
        <f t="shared" si="5"/>
        <v>5.69784172661871</v>
      </c>
      <c r="P126" s="4">
        <v>13.8</v>
      </c>
      <c r="Q126" s="4">
        <v>6.6</v>
      </c>
      <c r="R126" s="4">
        <v>6.03</v>
      </c>
      <c r="S126" s="4">
        <v>22.33</v>
      </c>
      <c r="T126" s="4">
        <v>343</v>
      </c>
      <c r="U126" s="4">
        <v>38</v>
      </c>
      <c r="V126" s="4">
        <v>0</v>
      </c>
    </row>
    <row r="127" spans="1:22">
      <c r="A127" s="7" t="s">
        <v>139</v>
      </c>
      <c r="B127" s="4" t="s">
        <v>45</v>
      </c>
      <c r="C127" s="4">
        <v>46</v>
      </c>
      <c r="D127" s="9" t="s">
        <v>42</v>
      </c>
      <c r="E127" s="4" t="s">
        <v>24</v>
      </c>
      <c r="F127" s="4" t="s">
        <v>31</v>
      </c>
      <c r="G127" s="2" t="s">
        <v>32</v>
      </c>
      <c r="H127" s="4">
        <v>63.1</v>
      </c>
      <c r="I127" s="4">
        <v>25.28</v>
      </c>
      <c r="J127" s="4">
        <v>24.05</v>
      </c>
      <c r="K127" s="4">
        <v>0.82</v>
      </c>
      <c r="L127" s="4">
        <v>32</v>
      </c>
      <c r="M127" s="4">
        <f t="shared" si="3"/>
        <v>197.1875</v>
      </c>
      <c r="N127" s="4">
        <f t="shared" si="4"/>
        <v>2.62370062370062</v>
      </c>
      <c r="O127" s="4">
        <f t="shared" si="5"/>
        <v>76.9512195121951</v>
      </c>
      <c r="P127" s="4">
        <v>13.8</v>
      </c>
      <c r="Q127" s="4">
        <v>2.71</v>
      </c>
      <c r="R127" s="4">
        <v>10.55</v>
      </c>
      <c r="S127" s="4">
        <v>36.17</v>
      </c>
      <c r="T127" s="4">
        <v>221</v>
      </c>
      <c r="U127" s="4">
        <v>53</v>
      </c>
      <c r="V127" s="4">
        <v>0</v>
      </c>
    </row>
    <row r="128" spans="1:22">
      <c r="A128" s="7" t="s">
        <v>139</v>
      </c>
      <c r="B128" s="4" t="s">
        <v>45</v>
      </c>
      <c r="C128" s="4">
        <v>46</v>
      </c>
      <c r="D128" s="9" t="s">
        <v>42</v>
      </c>
      <c r="E128" s="4" t="s">
        <v>24</v>
      </c>
      <c r="F128" s="4" t="s">
        <v>25</v>
      </c>
      <c r="G128" s="4" t="s">
        <v>25</v>
      </c>
      <c r="H128" s="4">
        <v>11.48</v>
      </c>
      <c r="I128" s="4">
        <v>24.09</v>
      </c>
      <c r="J128" s="4">
        <v>18.67</v>
      </c>
      <c r="K128" s="4">
        <v>0.51</v>
      </c>
      <c r="L128" s="4">
        <v>58</v>
      </c>
      <c r="M128" s="4">
        <f t="shared" si="3"/>
        <v>19.7931034482759</v>
      </c>
      <c r="N128" s="4">
        <f t="shared" si="4"/>
        <v>0.614890198178897</v>
      </c>
      <c r="O128" s="4">
        <f t="shared" si="5"/>
        <v>22.5098039215686</v>
      </c>
      <c r="P128" s="4">
        <v>17.9</v>
      </c>
      <c r="Q128" s="4">
        <v>6.94</v>
      </c>
      <c r="R128" s="4">
        <v>8.51</v>
      </c>
      <c r="S128" s="4">
        <v>24.71</v>
      </c>
      <c r="T128" s="4">
        <v>112</v>
      </c>
      <c r="U128" s="4">
        <v>53</v>
      </c>
      <c r="V128" s="4">
        <v>0</v>
      </c>
    </row>
    <row r="129" spans="1:22">
      <c r="A129" s="7" t="s">
        <v>139</v>
      </c>
      <c r="B129" s="4" t="s">
        <v>45</v>
      </c>
      <c r="C129" s="4">
        <v>46</v>
      </c>
      <c r="D129" s="9" t="s">
        <v>42</v>
      </c>
      <c r="E129" s="4" t="s">
        <v>24</v>
      </c>
      <c r="F129" s="4" t="s">
        <v>25</v>
      </c>
      <c r="G129" s="4" t="s">
        <v>25</v>
      </c>
      <c r="H129" s="4">
        <v>14.11</v>
      </c>
      <c r="I129" s="4">
        <v>33.07</v>
      </c>
      <c r="J129" s="4">
        <v>14.73</v>
      </c>
      <c r="K129" s="4">
        <v>1.03</v>
      </c>
      <c r="L129" s="4"/>
      <c r="M129" s="4" t="e">
        <f t="shared" si="3"/>
        <v>#DIV/0!</v>
      </c>
      <c r="N129" s="4">
        <f t="shared" si="4"/>
        <v>0.957909029192125</v>
      </c>
      <c r="O129" s="4">
        <f t="shared" si="5"/>
        <v>13.6990291262136</v>
      </c>
      <c r="P129" s="4">
        <v>12.8</v>
      </c>
      <c r="Q129" s="4">
        <v>2.11</v>
      </c>
      <c r="R129" s="4">
        <v>6.42</v>
      </c>
      <c r="S129" s="4"/>
      <c r="T129" s="4">
        <v>263</v>
      </c>
      <c r="U129" s="4">
        <v>53</v>
      </c>
      <c r="V129" s="4">
        <v>0</v>
      </c>
    </row>
    <row r="130" ht="13.9" spans="1:22">
      <c r="A130" s="7" t="s">
        <v>140</v>
      </c>
      <c r="B130" s="4" t="s">
        <v>41</v>
      </c>
      <c r="C130" s="4">
        <v>59</v>
      </c>
      <c r="D130" s="9" t="s">
        <v>61</v>
      </c>
      <c r="E130" s="4" t="s">
        <v>24</v>
      </c>
      <c r="F130" s="4" t="s">
        <v>25</v>
      </c>
      <c r="G130" s="4" t="s">
        <v>25</v>
      </c>
      <c r="H130" s="4">
        <v>3.03</v>
      </c>
      <c r="I130" s="4">
        <v>12.01</v>
      </c>
      <c r="J130" s="4">
        <v>5.02</v>
      </c>
      <c r="K130" s="4">
        <v>1.42</v>
      </c>
      <c r="L130" s="4">
        <v>87</v>
      </c>
      <c r="M130" s="4">
        <f t="shared" si="3"/>
        <v>3.48275862068966</v>
      </c>
      <c r="N130" s="4">
        <f t="shared" si="4"/>
        <v>0.603585657370518</v>
      </c>
      <c r="O130" s="4">
        <f t="shared" si="5"/>
        <v>2.13380281690141</v>
      </c>
      <c r="P130" s="4">
        <v>15.6</v>
      </c>
      <c r="Q130" s="4">
        <v>2.92</v>
      </c>
      <c r="R130" s="4">
        <v>3.64</v>
      </c>
      <c r="S130" s="4">
        <v>12.69</v>
      </c>
      <c r="T130" s="4">
        <v>214</v>
      </c>
      <c r="U130" s="4">
        <v>58</v>
      </c>
      <c r="V130" s="4">
        <v>0</v>
      </c>
    </row>
    <row r="131" spans="1:22">
      <c r="A131" s="7" t="s">
        <v>141</v>
      </c>
      <c r="B131" s="4" t="s">
        <v>45</v>
      </c>
      <c r="C131" s="4">
        <v>62</v>
      </c>
      <c r="D131" s="9" t="s">
        <v>42</v>
      </c>
      <c r="E131" s="4" t="s">
        <v>24</v>
      </c>
      <c r="F131" s="4" t="s">
        <v>25</v>
      </c>
      <c r="G131" s="4" t="s">
        <v>25</v>
      </c>
      <c r="H131" s="4">
        <v>3.86</v>
      </c>
      <c r="I131" s="4">
        <v>7.98</v>
      </c>
      <c r="J131" s="4">
        <v>9.84</v>
      </c>
      <c r="K131" s="4">
        <v>1.68</v>
      </c>
      <c r="L131" s="4">
        <v>112</v>
      </c>
      <c r="M131" s="4">
        <f t="shared" ref="M131:M194" si="6">100*H131/L131</f>
        <v>3.44642857142857</v>
      </c>
      <c r="N131" s="4">
        <f t="shared" ref="N131:N194" si="7">H131/J131</f>
        <v>0.392276422764228</v>
      </c>
      <c r="O131" s="4">
        <f t="shared" ref="O131:O194" si="8">H131/K131</f>
        <v>2.29761904761905</v>
      </c>
      <c r="P131" s="4">
        <v>13.3</v>
      </c>
      <c r="Q131" s="4">
        <v>7.15</v>
      </c>
      <c r="R131" s="4">
        <v>1.24</v>
      </c>
      <c r="S131" s="4">
        <v>4.8</v>
      </c>
      <c r="T131" s="4">
        <v>303</v>
      </c>
      <c r="U131" s="4">
        <v>17</v>
      </c>
      <c r="V131" s="4">
        <v>0</v>
      </c>
    </row>
    <row r="132" spans="1:22">
      <c r="A132" s="7" t="s">
        <v>142</v>
      </c>
      <c r="B132" s="4" t="s">
        <v>45</v>
      </c>
      <c r="C132" s="4">
        <v>73</v>
      </c>
      <c r="D132" s="9" t="s">
        <v>42</v>
      </c>
      <c r="E132" s="4" t="s">
        <v>24</v>
      </c>
      <c r="F132" s="4" t="s">
        <v>25</v>
      </c>
      <c r="G132" s="4" t="s">
        <v>25</v>
      </c>
      <c r="H132" s="4">
        <v>9.37</v>
      </c>
      <c r="I132" s="4">
        <v>8.62</v>
      </c>
      <c r="J132" s="4">
        <v>7.44</v>
      </c>
      <c r="K132" s="4">
        <v>1.87</v>
      </c>
      <c r="L132" s="4">
        <v>102</v>
      </c>
      <c r="M132" s="4">
        <f t="shared" si="6"/>
        <v>9.18627450980392</v>
      </c>
      <c r="N132" s="4">
        <f t="shared" si="7"/>
        <v>1.25940860215054</v>
      </c>
      <c r="O132" s="4">
        <f t="shared" si="8"/>
        <v>5.01069518716577</v>
      </c>
      <c r="P132" s="4">
        <v>12.6</v>
      </c>
      <c r="Q132" s="4">
        <v>6.21</v>
      </c>
      <c r="R132" s="4">
        <v>2.4</v>
      </c>
      <c r="S132" s="4">
        <v>10.64</v>
      </c>
      <c r="T132" s="4">
        <v>255</v>
      </c>
      <c r="U132" s="4">
        <v>205</v>
      </c>
      <c r="V132" s="4">
        <v>0</v>
      </c>
    </row>
    <row r="133" ht="13.9" spans="1:22">
      <c r="A133" s="7" t="s">
        <v>142</v>
      </c>
      <c r="B133" s="4" t="s">
        <v>45</v>
      </c>
      <c r="C133" s="4">
        <v>73</v>
      </c>
      <c r="D133" s="9" t="s">
        <v>61</v>
      </c>
      <c r="E133" s="4" t="s">
        <v>24</v>
      </c>
      <c r="F133" s="4" t="s">
        <v>25</v>
      </c>
      <c r="G133" s="4" t="s">
        <v>25</v>
      </c>
      <c r="H133" s="4">
        <v>8.63</v>
      </c>
      <c r="I133" s="4">
        <v>9.48</v>
      </c>
      <c r="J133" s="4">
        <v>17.97</v>
      </c>
      <c r="K133" s="4">
        <v>0.79</v>
      </c>
      <c r="L133" s="4">
        <v>106</v>
      </c>
      <c r="M133" s="4">
        <f t="shared" si="6"/>
        <v>8.14150943396226</v>
      </c>
      <c r="N133" s="4">
        <f t="shared" si="7"/>
        <v>0.480244852531998</v>
      </c>
      <c r="O133" s="4">
        <f t="shared" si="8"/>
        <v>10.9240506329114</v>
      </c>
      <c r="P133" s="4">
        <v>12.6</v>
      </c>
      <c r="Q133" s="4">
        <v>3.59</v>
      </c>
      <c r="R133" s="4">
        <v>1.03</v>
      </c>
      <c r="S133" s="4">
        <v>2.52</v>
      </c>
      <c r="T133" s="4">
        <v>354</v>
      </c>
      <c r="U133" s="4">
        <v>205</v>
      </c>
      <c r="V133" s="4">
        <v>0</v>
      </c>
    </row>
    <row r="134" spans="1:22">
      <c r="A134" s="7" t="s">
        <v>143</v>
      </c>
      <c r="B134" s="4" t="s">
        <v>41</v>
      </c>
      <c r="C134" s="4">
        <v>85</v>
      </c>
      <c r="D134" s="9" t="s">
        <v>42</v>
      </c>
      <c r="E134" s="4" t="s">
        <v>24</v>
      </c>
      <c r="F134" s="4" t="s">
        <v>25</v>
      </c>
      <c r="G134" s="4" t="s">
        <v>25</v>
      </c>
      <c r="H134" s="4">
        <v>6.91</v>
      </c>
      <c r="I134" s="4">
        <v>14.02</v>
      </c>
      <c r="J134" s="4">
        <v>17.54</v>
      </c>
      <c r="K134" s="4">
        <v>1.76</v>
      </c>
      <c r="L134" s="4"/>
      <c r="M134" s="4" t="e">
        <f t="shared" si="6"/>
        <v>#DIV/0!</v>
      </c>
      <c r="N134" s="4">
        <f t="shared" si="7"/>
        <v>0.393956670467503</v>
      </c>
      <c r="O134" s="4">
        <f t="shared" si="8"/>
        <v>3.92613636363636</v>
      </c>
      <c r="P134" s="4">
        <v>13.8</v>
      </c>
      <c r="Q134" s="4">
        <v>4.11</v>
      </c>
      <c r="R134" s="4">
        <v>7.61</v>
      </c>
      <c r="S134" s="4"/>
      <c r="T134" s="4">
        <v>236</v>
      </c>
      <c r="U134" s="4">
        <v>9</v>
      </c>
      <c r="V134" s="4">
        <v>1</v>
      </c>
    </row>
    <row r="135" spans="1:22">
      <c r="A135" s="7" t="s">
        <v>144</v>
      </c>
      <c r="B135" s="4" t="s">
        <v>41</v>
      </c>
      <c r="C135" s="4">
        <v>69</v>
      </c>
      <c r="D135" s="9" t="s">
        <v>42</v>
      </c>
      <c r="E135" s="4" t="s">
        <v>24</v>
      </c>
      <c r="F135" s="4" t="s">
        <v>25</v>
      </c>
      <c r="G135" s="4" t="s">
        <v>25</v>
      </c>
      <c r="H135" s="4">
        <v>3.34</v>
      </c>
      <c r="I135" s="4">
        <v>15.77</v>
      </c>
      <c r="J135" s="4">
        <v>54.86</v>
      </c>
      <c r="K135" s="4">
        <v>0.82</v>
      </c>
      <c r="L135" s="4">
        <v>111</v>
      </c>
      <c r="M135" s="4">
        <f t="shared" si="6"/>
        <v>3.00900900900901</v>
      </c>
      <c r="N135" s="4">
        <f t="shared" si="7"/>
        <v>0.0608822457163689</v>
      </c>
      <c r="O135" s="4">
        <f t="shared" si="8"/>
        <v>4.07317073170732</v>
      </c>
      <c r="P135" s="4">
        <v>16.3</v>
      </c>
      <c r="Q135" s="4">
        <v>3.43</v>
      </c>
      <c r="R135" s="4">
        <v>3.72</v>
      </c>
      <c r="S135" s="4">
        <v>14.16</v>
      </c>
      <c r="T135" s="4">
        <v>254</v>
      </c>
      <c r="U135" s="4">
        <v>21</v>
      </c>
      <c r="V135" s="4">
        <v>1</v>
      </c>
    </row>
    <row r="136" spans="1:22">
      <c r="A136" s="7" t="s">
        <v>145</v>
      </c>
      <c r="B136" s="4" t="s">
        <v>41</v>
      </c>
      <c r="C136" s="4">
        <v>71</v>
      </c>
      <c r="D136" s="9" t="s">
        <v>42</v>
      </c>
      <c r="E136" s="4" t="s">
        <v>24</v>
      </c>
      <c r="F136" s="4" t="s">
        <v>25</v>
      </c>
      <c r="G136" s="4" t="s">
        <v>25</v>
      </c>
      <c r="H136" s="4">
        <v>4.39</v>
      </c>
      <c r="I136" s="4">
        <v>11.41</v>
      </c>
      <c r="J136" s="4">
        <v>23.39</v>
      </c>
      <c r="K136" s="4">
        <v>1.06</v>
      </c>
      <c r="L136" s="4"/>
      <c r="M136" s="4" t="e">
        <f t="shared" si="6"/>
        <v>#DIV/0!</v>
      </c>
      <c r="N136" s="4">
        <f t="shared" si="7"/>
        <v>0.187687045746045</v>
      </c>
      <c r="O136" s="4">
        <f t="shared" si="8"/>
        <v>4.14150943396226</v>
      </c>
      <c r="P136" s="4">
        <v>12.7</v>
      </c>
      <c r="Q136" s="4">
        <v>5.58</v>
      </c>
      <c r="R136" s="4">
        <v>2.2</v>
      </c>
      <c r="S136" s="4"/>
      <c r="T136" s="4">
        <v>226</v>
      </c>
      <c r="U136" s="4">
        <v>37</v>
      </c>
      <c r="V136" s="4">
        <v>1</v>
      </c>
    </row>
    <row r="137" spans="1:22">
      <c r="A137" s="7" t="s">
        <v>146</v>
      </c>
      <c r="B137" s="4" t="s">
        <v>41</v>
      </c>
      <c r="C137" s="4">
        <v>71</v>
      </c>
      <c r="D137" s="9" t="s">
        <v>42</v>
      </c>
      <c r="E137" s="4" t="s">
        <v>24</v>
      </c>
      <c r="F137" s="4" t="s">
        <v>25</v>
      </c>
      <c r="G137" s="4" t="s">
        <v>25</v>
      </c>
      <c r="H137" s="4">
        <v>4.97</v>
      </c>
      <c r="I137" s="4">
        <v>36.01</v>
      </c>
      <c r="J137" s="4">
        <v>8.83</v>
      </c>
      <c r="K137" s="4">
        <v>1.23</v>
      </c>
      <c r="L137" s="4">
        <v>57</v>
      </c>
      <c r="M137" s="4">
        <f t="shared" si="6"/>
        <v>8.71929824561403</v>
      </c>
      <c r="N137" s="4">
        <f t="shared" si="7"/>
        <v>0.562853907134768</v>
      </c>
      <c r="O137" s="4">
        <f t="shared" si="8"/>
        <v>4.04065040650406</v>
      </c>
      <c r="P137" s="4">
        <v>12.5</v>
      </c>
      <c r="Q137" s="4">
        <v>4.58</v>
      </c>
      <c r="R137" s="4">
        <v>7.25</v>
      </c>
      <c r="S137" s="4">
        <v>16.95</v>
      </c>
      <c r="T137" s="4">
        <v>159</v>
      </c>
      <c r="U137" s="4">
        <v>29</v>
      </c>
      <c r="V137" s="4">
        <v>1</v>
      </c>
    </row>
    <row r="138" spans="1:22">
      <c r="A138" s="7" t="s">
        <v>146</v>
      </c>
      <c r="B138" s="4" t="s">
        <v>41</v>
      </c>
      <c r="C138" s="4">
        <v>71</v>
      </c>
      <c r="D138" s="9" t="s">
        <v>42</v>
      </c>
      <c r="E138" s="4" t="s">
        <v>24</v>
      </c>
      <c r="F138" s="4" t="s">
        <v>25</v>
      </c>
      <c r="G138" s="4" t="s">
        <v>25</v>
      </c>
      <c r="H138" s="4">
        <v>3.22</v>
      </c>
      <c r="I138" s="4">
        <v>26.64</v>
      </c>
      <c r="J138" s="4">
        <v>5.24</v>
      </c>
      <c r="K138" s="4">
        <v>2</v>
      </c>
      <c r="L138" s="4"/>
      <c r="M138" s="4" t="e">
        <f t="shared" si="6"/>
        <v>#DIV/0!</v>
      </c>
      <c r="N138" s="4">
        <f t="shared" si="7"/>
        <v>0.614503816793893</v>
      </c>
      <c r="O138" s="4">
        <f t="shared" si="8"/>
        <v>1.61</v>
      </c>
      <c r="P138" s="4">
        <v>14.3</v>
      </c>
      <c r="Q138" s="4">
        <v>5.24</v>
      </c>
      <c r="R138" s="4">
        <v>8.19</v>
      </c>
      <c r="S138" s="4">
        <v>15.79</v>
      </c>
      <c r="T138" s="4">
        <v>119</v>
      </c>
      <c r="U138" s="4">
        <v>29</v>
      </c>
      <c r="V138" s="4">
        <v>1</v>
      </c>
    </row>
    <row r="139" spans="1:22">
      <c r="A139" s="7" t="s">
        <v>147</v>
      </c>
      <c r="B139" s="4" t="s">
        <v>41</v>
      </c>
      <c r="C139" s="4">
        <v>74</v>
      </c>
      <c r="D139" s="9" t="s">
        <v>42</v>
      </c>
      <c r="E139" s="4" t="s">
        <v>29</v>
      </c>
      <c r="F139" s="4" t="s">
        <v>29</v>
      </c>
      <c r="G139" s="4" t="s">
        <v>29</v>
      </c>
      <c r="H139" s="4">
        <v>6.42</v>
      </c>
      <c r="I139" s="4">
        <v>16.59</v>
      </c>
      <c r="J139" s="4">
        <v>4.22</v>
      </c>
      <c r="K139" s="4">
        <v>1.38</v>
      </c>
      <c r="L139" s="4"/>
      <c r="M139" s="4" t="e">
        <f t="shared" si="6"/>
        <v>#DIV/0!</v>
      </c>
      <c r="N139" s="4">
        <f t="shared" si="7"/>
        <v>1.52132701421801</v>
      </c>
      <c r="O139" s="4">
        <f t="shared" si="8"/>
        <v>4.65217391304348</v>
      </c>
      <c r="P139" s="4">
        <v>11</v>
      </c>
      <c r="Q139" s="4">
        <v>3.3</v>
      </c>
      <c r="R139" s="4">
        <v>4.2</v>
      </c>
      <c r="S139" s="4">
        <v>8.86</v>
      </c>
      <c r="T139" s="4">
        <v>22</v>
      </c>
      <c r="U139" s="4">
        <v>25</v>
      </c>
      <c r="V139" s="4">
        <v>1</v>
      </c>
    </row>
    <row r="140" spans="1:22">
      <c r="A140" s="7" t="s">
        <v>148</v>
      </c>
      <c r="B140" s="4" t="s">
        <v>41</v>
      </c>
      <c r="C140" s="4">
        <v>46</v>
      </c>
      <c r="D140" s="9" t="s">
        <v>42</v>
      </c>
      <c r="E140" s="4" t="s">
        <v>24</v>
      </c>
      <c r="F140" s="4" t="s">
        <v>25</v>
      </c>
      <c r="G140" s="4" t="s">
        <v>25</v>
      </c>
      <c r="H140" s="4">
        <v>1.84</v>
      </c>
      <c r="I140" s="4">
        <v>8.33</v>
      </c>
      <c r="J140" s="4">
        <v>4.4</v>
      </c>
      <c r="K140" s="4">
        <v>1.58</v>
      </c>
      <c r="L140" s="4"/>
      <c r="M140" s="4" t="e">
        <f t="shared" si="6"/>
        <v>#DIV/0!</v>
      </c>
      <c r="N140" s="4">
        <f t="shared" si="7"/>
        <v>0.418181818181818</v>
      </c>
      <c r="O140" s="4">
        <f t="shared" si="8"/>
        <v>1.16455696202532</v>
      </c>
      <c r="P140" s="4">
        <v>12.8</v>
      </c>
      <c r="Q140" s="4">
        <v>5.37</v>
      </c>
      <c r="R140" s="4">
        <v>1.87</v>
      </c>
      <c r="S140" s="4"/>
      <c r="T140" s="4">
        <v>341</v>
      </c>
      <c r="U140" s="4">
        <v>21</v>
      </c>
      <c r="V140" s="4">
        <v>1</v>
      </c>
    </row>
    <row r="141" spans="1:22">
      <c r="A141" s="7" t="s">
        <v>149</v>
      </c>
      <c r="B141" s="4" t="s">
        <v>45</v>
      </c>
      <c r="C141" s="4">
        <v>68</v>
      </c>
      <c r="D141" s="9" t="s">
        <v>42</v>
      </c>
      <c r="E141" s="4" t="s">
        <v>29</v>
      </c>
      <c r="F141" s="4" t="s">
        <v>29</v>
      </c>
      <c r="G141" s="4" t="s">
        <v>29</v>
      </c>
      <c r="H141" s="4">
        <v>8.38</v>
      </c>
      <c r="I141" s="4">
        <v>12.02</v>
      </c>
      <c r="J141" s="4">
        <v>9.28</v>
      </c>
      <c r="K141" s="4">
        <v>1.29</v>
      </c>
      <c r="L141" s="4">
        <v>38</v>
      </c>
      <c r="M141" s="4">
        <f t="shared" si="6"/>
        <v>22.0526315789474</v>
      </c>
      <c r="N141" s="4">
        <f t="shared" si="7"/>
        <v>0.90301724137931</v>
      </c>
      <c r="O141" s="4">
        <f t="shared" si="8"/>
        <v>6.49612403100775</v>
      </c>
      <c r="P141" s="4">
        <v>18.4</v>
      </c>
      <c r="Q141" s="4">
        <v>2.56</v>
      </c>
      <c r="R141" s="4">
        <v>8.56</v>
      </c>
      <c r="S141" s="4">
        <v>28.54</v>
      </c>
      <c r="T141" s="4">
        <v>86</v>
      </c>
      <c r="U141" s="4">
        <v>4</v>
      </c>
      <c r="V141" s="4">
        <v>1</v>
      </c>
    </row>
    <row r="142" spans="1:22">
      <c r="A142" s="7" t="s">
        <v>150</v>
      </c>
      <c r="B142" s="4" t="s">
        <v>41</v>
      </c>
      <c r="C142" s="4">
        <v>57</v>
      </c>
      <c r="D142" s="9" t="s">
        <v>42</v>
      </c>
      <c r="E142" s="4" t="s">
        <v>24</v>
      </c>
      <c r="F142" s="4" t="s">
        <v>25</v>
      </c>
      <c r="G142" s="4" t="s">
        <v>25</v>
      </c>
      <c r="H142" s="4">
        <v>4.43</v>
      </c>
      <c r="I142" s="4">
        <v>35.39</v>
      </c>
      <c r="J142" s="4">
        <v>3.54</v>
      </c>
      <c r="K142" s="4">
        <v>1.57</v>
      </c>
      <c r="L142" s="4">
        <v>88</v>
      </c>
      <c r="M142" s="4">
        <f t="shared" si="6"/>
        <v>5.03409090909091</v>
      </c>
      <c r="N142" s="4">
        <f t="shared" si="7"/>
        <v>1.25141242937853</v>
      </c>
      <c r="O142" s="4">
        <f t="shared" si="8"/>
        <v>2.82165605095541</v>
      </c>
      <c r="P142" s="4">
        <v>13.9</v>
      </c>
      <c r="Q142" s="4">
        <v>6.57</v>
      </c>
      <c r="R142" s="4">
        <v>2.88</v>
      </c>
      <c r="S142" s="4">
        <v>10.45</v>
      </c>
      <c r="T142" s="4">
        <v>447</v>
      </c>
      <c r="U142" s="4">
        <v>36</v>
      </c>
      <c r="V142" s="4">
        <v>0</v>
      </c>
    </row>
    <row r="143" spans="1:22">
      <c r="A143" s="7" t="s">
        <v>150</v>
      </c>
      <c r="B143" s="4" t="s">
        <v>41</v>
      </c>
      <c r="C143" s="4">
        <v>57</v>
      </c>
      <c r="D143" s="9" t="s">
        <v>42</v>
      </c>
      <c r="E143" s="4" t="s">
        <v>24</v>
      </c>
      <c r="F143" s="4" t="s">
        <v>25</v>
      </c>
      <c r="G143" s="4" t="s">
        <v>25</v>
      </c>
      <c r="H143" s="4">
        <v>3.38</v>
      </c>
      <c r="I143" s="4">
        <v>46.11</v>
      </c>
      <c r="J143" s="4">
        <v>6.08</v>
      </c>
      <c r="K143" s="4">
        <v>1.07</v>
      </c>
      <c r="L143" s="4">
        <v>106</v>
      </c>
      <c r="M143" s="4">
        <f t="shared" si="6"/>
        <v>3.18867924528302</v>
      </c>
      <c r="N143" s="4">
        <f t="shared" si="7"/>
        <v>0.555921052631579</v>
      </c>
      <c r="O143" s="4">
        <f t="shared" si="8"/>
        <v>3.1588785046729</v>
      </c>
      <c r="P143" s="4">
        <v>13.4</v>
      </c>
      <c r="Q143" s="4">
        <v>5.68</v>
      </c>
      <c r="R143" s="4">
        <v>1.3</v>
      </c>
      <c r="S143" s="4">
        <v>3.9</v>
      </c>
      <c r="T143" s="4">
        <v>406</v>
      </c>
      <c r="U143" s="4">
        <v>36</v>
      </c>
      <c r="V143" s="4">
        <v>0</v>
      </c>
    </row>
    <row r="144" spans="1:22">
      <c r="A144" s="7" t="s">
        <v>151</v>
      </c>
      <c r="B144" s="4" t="s">
        <v>45</v>
      </c>
      <c r="C144" s="4">
        <v>43</v>
      </c>
      <c r="D144" s="9" t="s">
        <v>42</v>
      </c>
      <c r="E144" s="4" t="s">
        <v>24</v>
      </c>
      <c r="F144" s="4" t="s">
        <v>25</v>
      </c>
      <c r="G144" s="4" t="s">
        <v>25</v>
      </c>
      <c r="H144" s="4">
        <v>9.93</v>
      </c>
      <c r="I144" s="4">
        <v>36.34</v>
      </c>
      <c r="J144" s="4">
        <v>12.67</v>
      </c>
      <c r="K144" s="4">
        <v>0.93</v>
      </c>
      <c r="L144" s="4">
        <v>60</v>
      </c>
      <c r="M144" s="4">
        <f t="shared" si="6"/>
        <v>16.55</v>
      </c>
      <c r="N144" s="4">
        <f t="shared" si="7"/>
        <v>0.783741120757695</v>
      </c>
      <c r="O144" s="4">
        <f t="shared" si="8"/>
        <v>10.6774193548387</v>
      </c>
      <c r="P144" s="4">
        <v>13.7</v>
      </c>
      <c r="Q144" s="4">
        <v>3.06</v>
      </c>
      <c r="R144" s="4">
        <v>2.27</v>
      </c>
      <c r="S144" s="4">
        <v>7.32</v>
      </c>
      <c r="T144" s="4">
        <v>175</v>
      </c>
      <c r="U144" s="4">
        <v>85</v>
      </c>
      <c r="V144" s="4">
        <v>0</v>
      </c>
    </row>
    <row r="145" spans="1:22">
      <c r="A145" s="7" t="s">
        <v>152</v>
      </c>
      <c r="B145" s="4" t="s">
        <v>41</v>
      </c>
      <c r="C145" s="4">
        <v>24</v>
      </c>
      <c r="D145" s="9" t="s">
        <v>42</v>
      </c>
      <c r="E145" s="4" t="s">
        <v>29</v>
      </c>
      <c r="F145" s="4" t="s">
        <v>29</v>
      </c>
      <c r="G145" s="4" t="s">
        <v>29</v>
      </c>
      <c r="H145" s="4">
        <v>17.17</v>
      </c>
      <c r="I145" s="4">
        <v>40.12</v>
      </c>
      <c r="J145" s="4">
        <v>48.37</v>
      </c>
      <c r="K145" s="4">
        <v>0.33</v>
      </c>
      <c r="L145" s="4">
        <v>57</v>
      </c>
      <c r="M145" s="4">
        <f t="shared" si="6"/>
        <v>30.1228070175439</v>
      </c>
      <c r="N145" s="4">
        <f t="shared" si="7"/>
        <v>0.354972090138516</v>
      </c>
      <c r="O145" s="4">
        <f t="shared" si="8"/>
        <v>52.030303030303</v>
      </c>
      <c r="P145" s="4">
        <v>38.6</v>
      </c>
      <c r="Q145" s="4">
        <v>3.95</v>
      </c>
      <c r="R145" s="4">
        <v>2.71</v>
      </c>
      <c r="S145" s="4">
        <v>9.68</v>
      </c>
      <c r="T145" s="4">
        <v>19</v>
      </c>
      <c r="U145" s="4">
        <v>5</v>
      </c>
      <c r="V145" s="4">
        <v>1</v>
      </c>
    </row>
    <row r="146" spans="1:22">
      <c r="A146" s="7" t="s">
        <v>152</v>
      </c>
      <c r="B146" s="4" t="s">
        <v>41</v>
      </c>
      <c r="C146" s="4">
        <v>24</v>
      </c>
      <c r="D146" s="9" t="s">
        <v>42</v>
      </c>
      <c r="E146" s="4" t="s">
        <v>24</v>
      </c>
      <c r="F146" s="4" t="s">
        <v>31</v>
      </c>
      <c r="G146" s="2" t="s">
        <v>32</v>
      </c>
      <c r="H146" s="4">
        <v>4.54</v>
      </c>
      <c r="I146" s="4">
        <v>20.46</v>
      </c>
      <c r="J146" s="4">
        <v>15.69</v>
      </c>
      <c r="K146" s="4">
        <v>0.97</v>
      </c>
      <c r="L146" s="4">
        <v>65</v>
      </c>
      <c r="M146" s="4">
        <f t="shared" si="6"/>
        <v>6.98461538461538</v>
      </c>
      <c r="N146" s="4">
        <f t="shared" si="7"/>
        <v>0.289356277884003</v>
      </c>
      <c r="O146" s="4">
        <f t="shared" si="8"/>
        <v>4.68041237113402</v>
      </c>
      <c r="P146" s="4">
        <v>19.5</v>
      </c>
      <c r="Q146" s="4">
        <v>4.97</v>
      </c>
      <c r="R146" s="4">
        <v>3.9</v>
      </c>
      <c r="S146" s="4">
        <v>16.33</v>
      </c>
      <c r="T146" s="4">
        <v>149</v>
      </c>
      <c r="U146" s="4">
        <v>5</v>
      </c>
      <c r="V146" s="4">
        <v>1</v>
      </c>
    </row>
    <row r="147" spans="1:22">
      <c r="A147" s="7" t="s">
        <v>153</v>
      </c>
      <c r="B147" s="4" t="s">
        <v>45</v>
      </c>
      <c r="C147" s="4">
        <v>57</v>
      </c>
      <c r="D147" s="9" t="s">
        <v>42</v>
      </c>
      <c r="E147" s="4" t="s">
        <v>24</v>
      </c>
      <c r="F147" s="4" t="s">
        <v>25</v>
      </c>
      <c r="G147" s="4" t="s">
        <v>25</v>
      </c>
      <c r="H147" s="4">
        <v>7.68</v>
      </c>
      <c r="I147" s="4">
        <v>24.38</v>
      </c>
      <c r="J147" s="4">
        <v>26.02</v>
      </c>
      <c r="K147" s="4">
        <v>0.82</v>
      </c>
      <c r="L147" s="4">
        <v>66</v>
      </c>
      <c r="M147" s="4">
        <f t="shared" si="6"/>
        <v>11.6363636363636</v>
      </c>
      <c r="N147" s="4">
        <f t="shared" si="7"/>
        <v>0.295157571099154</v>
      </c>
      <c r="O147" s="4">
        <f t="shared" si="8"/>
        <v>9.36585365853658</v>
      </c>
      <c r="P147" s="4">
        <v>15.1</v>
      </c>
      <c r="Q147" s="4">
        <v>6.51</v>
      </c>
      <c r="R147" s="4">
        <v>5.11</v>
      </c>
      <c r="S147" s="4">
        <v>19.88</v>
      </c>
      <c r="T147" s="4">
        <v>159</v>
      </c>
      <c r="U147" s="4">
        <v>33</v>
      </c>
      <c r="V147" s="4">
        <v>1</v>
      </c>
    </row>
    <row r="148" spans="1:22">
      <c r="A148" s="1" t="s">
        <v>154</v>
      </c>
      <c r="B148" s="2" t="s">
        <v>41</v>
      </c>
      <c r="C148" s="2">
        <v>53</v>
      </c>
      <c r="D148" s="9" t="s">
        <v>42</v>
      </c>
      <c r="E148" s="4" t="s">
        <v>29</v>
      </c>
      <c r="F148" s="4" t="s">
        <v>29</v>
      </c>
      <c r="G148" s="4" t="s">
        <v>29</v>
      </c>
      <c r="H148" s="2">
        <v>34.21</v>
      </c>
      <c r="I148" s="2">
        <v>31.55</v>
      </c>
      <c r="J148" s="2">
        <v>32.3</v>
      </c>
      <c r="K148" s="2">
        <v>0.8</v>
      </c>
      <c r="L148" s="2">
        <v>20</v>
      </c>
      <c r="M148" s="4">
        <f t="shared" si="6"/>
        <v>171.05</v>
      </c>
      <c r="N148" s="4">
        <f t="shared" si="7"/>
        <v>1.05913312693498</v>
      </c>
      <c r="O148" s="4">
        <f t="shared" si="8"/>
        <v>42.7625</v>
      </c>
      <c r="P148" s="2">
        <v>24.9</v>
      </c>
      <c r="Q148" s="2">
        <v>1.46</v>
      </c>
      <c r="R148" s="2">
        <v>15.02</v>
      </c>
      <c r="S148" s="2">
        <v>64.06</v>
      </c>
      <c r="T148" s="2">
        <v>20</v>
      </c>
      <c r="U148" s="4">
        <v>4</v>
      </c>
      <c r="V148" s="4">
        <v>1</v>
      </c>
    </row>
    <row r="149" spans="1:22">
      <c r="A149" s="1" t="s">
        <v>155</v>
      </c>
      <c r="B149" s="2" t="s">
        <v>45</v>
      </c>
      <c r="C149" s="2">
        <v>35</v>
      </c>
      <c r="D149" s="9" t="s">
        <v>42</v>
      </c>
      <c r="E149" s="4" t="s">
        <v>29</v>
      </c>
      <c r="F149" s="4" t="s">
        <v>29</v>
      </c>
      <c r="G149" s="4" t="s">
        <v>29</v>
      </c>
      <c r="H149" s="2">
        <v>60.53</v>
      </c>
      <c r="I149" s="2">
        <v>18.21</v>
      </c>
      <c r="J149" s="2">
        <v>6.33</v>
      </c>
      <c r="K149" s="2">
        <v>12.63</v>
      </c>
      <c r="L149" s="2">
        <v>40</v>
      </c>
      <c r="M149" s="4">
        <f t="shared" si="6"/>
        <v>151.325</v>
      </c>
      <c r="N149" s="4">
        <f t="shared" si="7"/>
        <v>9.56240126382306</v>
      </c>
      <c r="O149" s="4">
        <f t="shared" si="8"/>
        <v>4.79255740300871</v>
      </c>
      <c r="P149" s="2">
        <v>18.9</v>
      </c>
      <c r="Q149" s="2">
        <v>1.57</v>
      </c>
      <c r="R149" s="2">
        <v>20</v>
      </c>
      <c r="S149" s="2">
        <v>150</v>
      </c>
      <c r="T149" s="2">
        <v>29</v>
      </c>
      <c r="U149" s="4">
        <v>13</v>
      </c>
      <c r="V149" s="4">
        <v>0</v>
      </c>
    </row>
    <row r="150" spans="1:22">
      <c r="A150" s="7" t="s">
        <v>156</v>
      </c>
      <c r="B150" s="4" t="s">
        <v>41</v>
      </c>
      <c r="C150" s="4">
        <v>44</v>
      </c>
      <c r="D150" s="9" t="s">
        <v>42</v>
      </c>
      <c r="E150" s="4" t="s">
        <v>29</v>
      </c>
      <c r="F150" s="4" t="s">
        <v>29</v>
      </c>
      <c r="G150" s="4" t="s">
        <v>29</v>
      </c>
      <c r="H150" s="4">
        <v>34.8</v>
      </c>
      <c r="I150" s="4">
        <v>37.2</v>
      </c>
      <c r="J150" s="4">
        <v>23.82</v>
      </c>
      <c r="K150" s="4">
        <v>3.26</v>
      </c>
      <c r="L150" s="4">
        <v>25</v>
      </c>
      <c r="M150" s="4">
        <f t="shared" si="6"/>
        <v>139.2</v>
      </c>
      <c r="N150" s="4">
        <f t="shared" si="7"/>
        <v>1.46095717884131</v>
      </c>
      <c r="O150" s="4">
        <f t="shared" si="8"/>
        <v>10.6748466257669</v>
      </c>
      <c r="P150" s="4">
        <v>27.6</v>
      </c>
      <c r="Q150" s="4">
        <v>1.19</v>
      </c>
      <c r="R150" s="4">
        <v>6.07</v>
      </c>
      <c r="S150" s="4">
        <v>20.56</v>
      </c>
      <c r="T150" s="4">
        <v>14</v>
      </c>
      <c r="U150" s="4">
        <v>8</v>
      </c>
      <c r="V150" s="4">
        <v>1</v>
      </c>
    </row>
    <row r="151" ht="13.9" spans="1:22">
      <c r="A151" s="7" t="s">
        <v>157</v>
      </c>
      <c r="B151" s="4" t="s">
        <v>41</v>
      </c>
      <c r="C151" s="4">
        <v>59</v>
      </c>
      <c r="D151" s="9" t="s">
        <v>61</v>
      </c>
      <c r="E151" s="4" t="s">
        <v>24</v>
      </c>
      <c r="F151" s="4" t="s">
        <v>25</v>
      </c>
      <c r="G151" s="4" t="s">
        <v>25</v>
      </c>
      <c r="H151" s="4">
        <v>2.12</v>
      </c>
      <c r="I151" s="4">
        <v>8.27</v>
      </c>
      <c r="J151" s="4">
        <v>6.9</v>
      </c>
      <c r="K151" s="4">
        <v>1.2</v>
      </c>
      <c r="L151" s="4">
        <v>100</v>
      </c>
      <c r="M151" s="4">
        <f t="shared" si="6"/>
        <v>2.12</v>
      </c>
      <c r="N151" s="4">
        <f t="shared" si="7"/>
        <v>0.307246376811594</v>
      </c>
      <c r="O151" s="4">
        <f t="shared" si="8"/>
        <v>1.76666666666667</v>
      </c>
      <c r="P151" s="4">
        <v>13.1</v>
      </c>
      <c r="Q151" s="4">
        <v>6.28</v>
      </c>
      <c r="R151" s="4">
        <v>1.08</v>
      </c>
      <c r="S151" s="4">
        <v>4.23</v>
      </c>
      <c r="T151" s="4">
        <v>325</v>
      </c>
      <c r="U151" s="4">
        <v>48</v>
      </c>
      <c r="V151" s="4">
        <v>0</v>
      </c>
    </row>
    <row r="152" ht="13.9" spans="1:22">
      <c r="A152" s="7" t="s">
        <v>157</v>
      </c>
      <c r="B152" s="4" t="s">
        <v>41</v>
      </c>
      <c r="C152" s="4">
        <v>59</v>
      </c>
      <c r="D152" s="9" t="s">
        <v>61</v>
      </c>
      <c r="E152" s="4" t="s">
        <v>24</v>
      </c>
      <c r="F152" s="4" t="s">
        <v>25</v>
      </c>
      <c r="G152" s="4" t="s">
        <v>25</v>
      </c>
      <c r="H152" s="4">
        <v>6.12</v>
      </c>
      <c r="I152" s="4">
        <v>11.1</v>
      </c>
      <c r="J152" s="4">
        <v>12.85</v>
      </c>
      <c r="K152" s="4">
        <v>1.3</v>
      </c>
      <c r="L152" s="4">
        <v>105</v>
      </c>
      <c r="M152" s="4">
        <f t="shared" si="6"/>
        <v>5.82857142857143</v>
      </c>
      <c r="N152" s="4">
        <f t="shared" si="7"/>
        <v>0.476264591439689</v>
      </c>
      <c r="O152" s="4">
        <f t="shared" si="8"/>
        <v>4.70769230769231</v>
      </c>
      <c r="P152" s="4">
        <v>12.9</v>
      </c>
      <c r="Q152" s="4">
        <v>8.56</v>
      </c>
      <c r="R152" s="4">
        <v>1.29</v>
      </c>
      <c r="S152" s="4">
        <v>5.66</v>
      </c>
      <c r="T152" s="4">
        <v>328</v>
      </c>
      <c r="U152" s="4">
        <v>48</v>
      </c>
      <c r="V152" s="4">
        <v>0</v>
      </c>
    </row>
    <row r="153" spans="1:22">
      <c r="A153" s="1" t="s">
        <v>158</v>
      </c>
      <c r="B153" s="2" t="s">
        <v>41</v>
      </c>
      <c r="C153" s="2">
        <v>48</v>
      </c>
      <c r="D153" s="9" t="s">
        <v>42</v>
      </c>
      <c r="E153" s="4" t="s">
        <v>24</v>
      </c>
      <c r="F153" s="4" t="s">
        <v>31</v>
      </c>
      <c r="G153" s="2" t="s">
        <v>33</v>
      </c>
      <c r="H153" s="2">
        <v>12.19</v>
      </c>
      <c r="I153" s="2">
        <v>43.62</v>
      </c>
      <c r="J153" s="2">
        <v>6.11</v>
      </c>
      <c r="K153" s="2">
        <v>2.32</v>
      </c>
      <c r="L153" s="2"/>
      <c r="M153" s="4" t="e">
        <f t="shared" si="6"/>
        <v>#DIV/0!</v>
      </c>
      <c r="N153" s="4">
        <f t="shared" si="7"/>
        <v>1.99509001636661</v>
      </c>
      <c r="O153" s="4">
        <f t="shared" si="8"/>
        <v>5.25431034482759</v>
      </c>
      <c r="P153" s="2">
        <v>12.9</v>
      </c>
      <c r="Q153" s="2">
        <v>1.06</v>
      </c>
      <c r="R153" s="2">
        <v>23.61</v>
      </c>
      <c r="S153" s="2"/>
      <c r="T153" s="2">
        <v>73</v>
      </c>
      <c r="U153" s="4">
        <v>12</v>
      </c>
      <c r="V153" s="4">
        <v>1</v>
      </c>
    </row>
    <row r="154" ht="13.9" spans="1:22">
      <c r="A154" s="7" t="s">
        <v>159</v>
      </c>
      <c r="B154" s="4" t="s">
        <v>41</v>
      </c>
      <c r="C154" s="4">
        <v>50</v>
      </c>
      <c r="D154" s="9" t="s">
        <v>61</v>
      </c>
      <c r="E154" s="4" t="s">
        <v>29</v>
      </c>
      <c r="F154" s="4" t="s">
        <v>29</v>
      </c>
      <c r="G154" s="4" t="s">
        <v>29</v>
      </c>
      <c r="H154" s="4">
        <v>12.43</v>
      </c>
      <c r="I154" s="4">
        <v>49.74</v>
      </c>
      <c r="J154" s="4">
        <v>42.5</v>
      </c>
      <c r="K154" s="4">
        <v>4.6</v>
      </c>
      <c r="L154" s="4">
        <v>29</v>
      </c>
      <c r="M154" s="4">
        <f t="shared" si="6"/>
        <v>42.8620689655172</v>
      </c>
      <c r="N154" s="4">
        <f t="shared" si="7"/>
        <v>0.292470588235294</v>
      </c>
      <c r="O154" s="4">
        <f t="shared" si="8"/>
        <v>2.70217391304348</v>
      </c>
      <c r="P154" s="4">
        <v>18.9</v>
      </c>
      <c r="Q154" s="4">
        <v>2.75</v>
      </c>
      <c r="R154" s="4">
        <v>20</v>
      </c>
      <c r="S154" s="4">
        <v>150</v>
      </c>
      <c r="T154" s="4">
        <v>32</v>
      </c>
      <c r="U154" s="4">
        <v>16</v>
      </c>
      <c r="V154" s="4">
        <v>1</v>
      </c>
    </row>
    <row r="155" ht="13.9" spans="1:22">
      <c r="A155" s="7" t="s">
        <v>159</v>
      </c>
      <c r="B155" s="4" t="s">
        <v>41</v>
      </c>
      <c r="C155" s="4">
        <v>50</v>
      </c>
      <c r="D155" s="9" t="s">
        <v>61</v>
      </c>
      <c r="E155" s="4" t="s">
        <v>29</v>
      </c>
      <c r="F155" s="4" t="s">
        <v>29</v>
      </c>
      <c r="G155" s="4" t="s">
        <v>29</v>
      </c>
      <c r="H155" s="4">
        <v>5.2</v>
      </c>
      <c r="I155" s="4">
        <v>23.47</v>
      </c>
      <c r="J155" s="4">
        <v>32.34</v>
      </c>
      <c r="K155" s="4">
        <v>1.73</v>
      </c>
      <c r="L155" s="4">
        <v>32</v>
      </c>
      <c r="M155" s="4">
        <f t="shared" si="6"/>
        <v>16.25</v>
      </c>
      <c r="N155" s="4">
        <f t="shared" si="7"/>
        <v>0.160791589363018</v>
      </c>
      <c r="O155" s="4">
        <f t="shared" si="8"/>
        <v>3.00578034682081</v>
      </c>
      <c r="P155" s="4">
        <v>21.5</v>
      </c>
      <c r="Q155" s="4">
        <v>1.7</v>
      </c>
      <c r="R155" s="4">
        <v>13.65</v>
      </c>
      <c r="S155" s="4"/>
      <c r="T155" s="4">
        <v>38</v>
      </c>
      <c r="U155" s="4">
        <v>16</v>
      </c>
      <c r="V155" s="4">
        <v>1</v>
      </c>
    </row>
    <row r="156" spans="1:22">
      <c r="A156" s="1" t="s">
        <v>160</v>
      </c>
      <c r="B156" s="2" t="s">
        <v>45</v>
      </c>
      <c r="C156" s="2">
        <v>50</v>
      </c>
      <c r="D156" s="9" t="s">
        <v>47</v>
      </c>
      <c r="E156" s="4" t="s">
        <v>29</v>
      </c>
      <c r="F156" s="4" t="s">
        <v>29</v>
      </c>
      <c r="G156" s="4" t="s">
        <v>29</v>
      </c>
      <c r="H156" s="2">
        <v>16.18</v>
      </c>
      <c r="I156" s="2">
        <v>45.03</v>
      </c>
      <c r="J156" s="2">
        <v>47.19</v>
      </c>
      <c r="K156" s="2">
        <v>2.16</v>
      </c>
      <c r="L156" s="2">
        <v>36</v>
      </c>
      <c r="M156" s="4">
        <f t="shared" si="6"/>
        <v>44.9444444444444</v>
      </c>
      <c r="N156" s="4">
        <f t="shared" si="7"/>
        <v>0.342869251960161</v>
      </c>
      <c r="O156" s="4">
        <f t="shared" si="8"/>
        <v>7.49074074074074</v>
      </c>
      <c r="P156" s="2">
        <v>21.7</v>
      </c>
      <c r="Q156" s="2">
        <v>2.43</v>
      </c>
      <c r="R156" s="2">
        <v>16.13</v>
      </c>
      <c r="S156" s="2">
        <v>50.13</v>
      </c>
      <c r="T156" s="2">
        <v>74</v>
      </c>
      <c r="U156" s="4">
        <v>12</v>
      </c>
      <c r="V156" s="4">
        <v>1</v>
      </c>
    </row>
    <row r="157" spans="1:22">
      <c r="A157" s="7" t="s">
        <v>161</v>
      </c>
      <c r="B157" s="4" t="s">
        <v>45</v>
      </c>
      <c r="C157" s="4">
        <v>52</v>
      </c>
      <c r="D157" s="9" t="s">
        <v>42</v>
      </c>
      <c r="E157" s="4" t="s">
        <v>29</v>
      </c>
      <c r="F157" s="4" t="s">
        <v>29</v>
      </c>
      <c r="G157" s="4" t="s">
        <v>29</v>
      </c>
      <c r="H157" s="4">
        <v>13.73</v>
      </c>
      <c r="I157" s="4">
        <v>19.37</v>
      </c>
      <c r="J157" s="4">
        <v>21.66</v>
      </c>
      <c r="K157" s="4">
        <v>1</v>
      </c>
      <c r="L157" s="4">
        <v>59</v>
      </c>
      <c r="M157" s="4">
        <f t="shared" si="6"/>
        <v>23.271186440678</v>
      </c>
      <c r="N157" s="4">
        <f t="shared" si="7"/>
        <v>0.633887349953832</v>
      </c>
      <c r="O157" s="4">
        <f t="shared" si="8"/>
        <v>13.73</v>
      </c>
      <c r="P157" s="4">
        <v>13</v>
      </c>
      <c r="Q157" s="4">
        <v>4.16</v>
      </c>
      <c r="R157" s="4">
        <v>3.68</v>
      </c>
      <c r="S157" s="4"/>
      <c r="T157" s="4">
        <v>35</v>
      </c>
      <c r="U157" s="4">
        <v>5</v>
      </c>
      <c r="V157" s="4">
        <v>1</v>
      </c>
    </row>
    <row r="158" spans="1:22">
      <c r="A158" s="7" t="s">
        <v>162</v>
      </c>
      <c r="B158" s="4" t="s">
        <v>45</v>
      </c>
      <c r="C158" s="4">
        <v>60</v>
      </c>
      <c r="D158" s="9" t="s">
        <v>42</v>
      </c>
      <c r="E158" s="4" t="s">
        <v>24</v>
      </c>
      <c r="F158" s="4" t="s">
        <v>25</v>
      </c>
      <c r="G158" s="4" t="s">
        <v>25</v>
      </c>
      <c r="H158" s="4">
        <v>6.93</v>
      </c>
      <c r="I158" s="4">
        <v>28.58</v>
      </c>
      <c r="J158" s="4">
        <v>8.04</v>
      </c>
      <c r="K158" s="4">
        <v>0.98</v>
      </c>
      <c r="L158" s="4">
        <v>78</v>
      </c>
      <c r="M158" s="4">
        <f t="shared" si="6"/>
        <v>8.88461538461539</v>
      </c>
      <c r="N158" s="4">
        <f t="shared" si="7"/>
        <v>0.861940298507463</v>
      </c>
      <c r="O158" s="4">
        <f t="shared" si="8"/>
        <v>7.07142857142857</v>
      </c>
      <c r="P158" s="4">
        <v>12.8</v>
      </c>
      <c r="Q158" s="4">
        <v>6.17</v>
      </c>
      <c r="R158" s="4">
        <v>1.33</v>
      </c>
      <c r="S158" s="4">
        <v>3.92</v>
      </c>
      <c r="T158" s="4">
        <v>165</v>
      </c>
      <c r="U158" s="4">
        <v>46</v>
      </c>
      <c r="V158" s="4">
        <v>0</v>
      </c>
    </row>
    <row r="159" spans="1:22">
      <c r="A159" s="1" t="s">
        <v>163</v>
      </c>
      <c r="B159" s="2" t="s">
        <v>41</v>
      </c>
      <c r="C159" s="2">
        <v>57</v>
      </c>
      <c r="D159" s="9" t="s">
        <v>28</v>
      </c>
      <c r="E159" s="4" t="s">
        <v>29</v>
      </c>
      <c r="F159" s="4" t="s">
        <v>29</v>
      </c>
      <c r="G159" s="4" t="s">
        <v>29</v>
      </c>
      <c r="H159" s="2">
        <v>41.1</v>
      </c>
      <c r="I159" s="2">
        <v>48.97</v>
      </c>
      <c r="J159" s="2">
        <v>11.93</v>
      </c>
      <c r="K159" s="2">
        <v>1.8</v>
      </c>
      <c r="L159" s="2"/>
      <c r="M159" s="4" t="e">
        <f t="shared" si="6"/>
        <v>#DIV/0!</v>
      </c>
      <c r="N159" s="4">
        <f t="shared" si="7"/>
        <v>3.44509639564124</v>
      </c>
      <c r="O159" s="4">
        <f t="shared" si="8"/>
        <v>22.8333333333333</v>
      </c>
      <c r="P159" s="2">
        <v>24.6</v>
      </c>
      <c r="Q159" s="2">
        <v>1.45</v>
      </c>
      <c r="R159" s="2">
        <v>43.67</v>
      </c>
      <c r="S159" s="2"/>
      <c r="T159" s="2">
        <v>42</v>
      </c>
      <c r="U159" s="4">
        <v>5</v>
      </c>
      <c r="V159" s="4">
        <v>1</v>
      </c>
    </row>
    <row r="160" spans="1:22">
      <c r="A160" s="7" t="s">
        <v>164</v>
      </c>
      <c r="B160" s="4" t="s">
        <v>41</v>
      </c>
      <c r="C160" s="4">
        <v>63</v>
      </c>
      <c r="D160" s="9" t="s">
        <v>42</v>
      </c>
      <c r="E160" s="4" t="s">
        <v>24</v>
      </c>
      <c r="F160" s="4" t="s">
        <v>31</v>
      </c>
      <c r="G160" s="2" t="s">
        <v>32</v>
      </c>
      <c r="H160" s="4">
        <v>54.83</v>
      </c>
      <c r="I160" s="4">
        <v>12.17</v>
      </c>
      <c r="J160" s="4">
        <v>11.59</v>
      </c>
      <c r="K160" s="4">
        <v>22.89</v>
      </c>
      <c r="L160" s="4"/>
      <c r="M160" s="4" t="e">
        <f t="shared" si="6"/>
        <v>#DIV/0!</v>
      </c>
      <c r="N160" s="4">
        <f t="shared" si="7"/>
        <v>4.73080241587575</v>
      </c>
      <c r="O160" s="4">
        <f t="shared" si="8"/>
        <v>2.39536915683705</v>
      </c>
      <c r="P160" s="4">
        <v>15.4</v>
      </c>
      <c r="Q160" s="4">
        <v>5.2</v>
      </c>
      <c r="R160" s="4"/>
      <c r="S160" s="4"/>
      <c r="T160" s="4">
        <v>111</v>
      </c>
      <c r="U160" s="4">
        <v>7</v>
      </c>
      <c r="V160" s="4">
        <v>1</v>
      </c>
    </row>
    <row r="161" spans="1:22">
      <c r="A161" s="7" t="s">
        <v>165</v>
      </c>
      <c r="B161" s="4" t="s">
        <v>41</v>
      </c>
      <c r="C161" s="4">
        <v>81</v>
      </c>
      <c r="D161" s="9" t="s">
        <v>42</v>
      </c>
      <c r="E161" s="4" t="s">
        <v>24</v>
      </c>
      <c r="F161" s="4" t="s">
        <v>25</v>
      </c>
      <c r="G161" s="4" t="s">
        <v>25</v>
      </c>
      <c r="H161" s="4">
        <v>2.23</v>
      </c>
      <c r="I161" s="4">
        <v>10.82</v>
      </c>
      <c r="J161" s="4">
        <v>22.78</v>
      </c>
      <c r="K161" s="4">
        <v>0.89</v>
      </c>
      <c r="L161" s="4">
        <v>90</v>
      </c>
      <c r="M161" s="4">
        <f t="shared" si="6"/>
        <v>2.47777777777778</v>
      </c>
      <c r="N161" s="4">
        <f t="shared" si="7"/>
        <v>0.0978928884986831</v>
      </c>
      <c r="O161" s="4">
        <f t="shared" si="8"/>
        <v>2.50561797752809</v>
      </c>
      <c r="P161" s="4">
        <v>15.2</v>
      </c>
      <c r="Q161" s="4">
        <v>5.51</v>
      </c>
      <c r="R161" s="4">
        <v>0.57</v>
      </c>
      <c r="S161" s="4">
        <v>1.71</v>
      </c>
      <c r="T161" s="4">
        <v>256</v>
      </c>
      <c r="U161" s="4">
        <v>32</v>
      </c>
      <c r="V161" s="4">
        <v>1</v>
      </c>
    </row>
    <row r="162" ht="13.9" spans="1:22">
      <c r="A162" s="7" t="s">
        <v>166</v>
      </c>
      <c r="B162" s="4" t="s">
        <v>41</v>
      </c>
      <c r="C162" s="4">
        <v>60</v>
      </c>
      <c r="D162" s="9" t="s">
        <v>61</v>
      </c>
      <c r="E162" s="4" t="s">
        <v>24</v>
      </c>
      <c r="F162" s="4" t="s">
        <v>31</v>
      </c>
      <c r="G162" s="2" t="s">
        <v>32</v>
      </c>
      <c r="H162" s="4">
        <v>17.3</v>
      </c>
      <c r="I162" s="4">
        <v>13.1</v>
      </c>
      <c r="J162" s="4">
        <v>5.69</v>
      </c>
      <c r="K162" s="4">
        <v>10.57</v>
      </c>
      <c r="L162" s="4"/>
      <c r="M162" s="4" t="e">
        <f t="shared" si="6"/>
        <v>#DIV/0!</v>
      </c>
      <c r="N162" s="4">
        <f t="shared" si="7"/>
        <v>3.04042179261863</v>
      </c>
      <c r="O162" s="4">
        <f t="shared" si="8"/>
        <v>1.63670766319773</v>
      </c>
      <c r="P162" s="4">
        <v>16.9</v>
      </c>
      <c r="Q162" s="4">
        <v>2.5</v>
      </c>
      <c r="R162" s="4">
        <v>27.8</v>
      </c>
      <c r="S162" s="4"/>
      <c r="T162" s="4">
        <v>59</v>
      </c>
      <c r="U162" s="4">
        <v>14</v>
      </c>
      <c r="V162" s="4">
        <v>0</v>
      </c>
    </row>
    <row r="163" spans="1:22">
      <c r="A163" s="7" t="s">
        <v>167</v>
      </c>
      <c r="B163" s="4" t="s">
        <v>45</v>
      </c>
      <c r="C163" s="4">
        <v>75</v>
      </c>
      <c r="D163" s="9" t="s">
        <v>28</v>
      </c>
      <c r="E163" s="4" t="s">
        <v>29</v>
      </c>
      <c r="F163" s="4" t="s">
        <v>29</v>
      </c>
      <c r="G163" s="4" t="s">
        <v>29</v>
      </c>
      <c r="H163" s="4">
        <v>77.17</v>
      </c>
      <c r="I163" s="4">
        <v>26.81</v>
      </c>
      <c r="J163" s="4">
        <v>44.94</v>
      </c>
      <c r="K163" s="4">
        <v>3.73</v>
      </c>
      <c r="L163" s="4"/>
      <c r="M163" s="4" t="e">
        <f t="shared" si="6"/>
        <v>#DIV/0!</v>
      </c>
      <c r="N163" s="4">
        <f t="shared" si="7"/>
        <v>1.71717846016911</v>
      </c>
      <c r="O163" s="4">
        <f t="shared" si="8"/>
        <v>20.6890080428954</v>
      </c>
      <c r="P163" s="4">
        <v>17.2</v>
      </c>
      <c r="Q163" s="4">
        <v>2.11</v>
      </c>
      <c r="R163" s="4">
        <v>26.95</v>
      </c>
      <c r="S163" s="4"/>
      <c r="T163" s="4">
        <v>19</v>
      </c>
      <c r="U163" s="4">
        <v>22</v>
      </c>
      <c r="V163" s="4">
        <v>1</v>
      </c>
    </row>
    <row r="164" spans="1:22">
      <c r="A164" s="7" t="s">
        <v>168</v>
      </c>
      <c r="B164" s="4" t="s">
        <v>41</v>
      </c>
      <c r="C164" s="4">
        <v>71</v>
      </c>
      <c r="D164" s="9" t="s">
        <v>42</v>
      </c>
      <c r="E164" s="4" t="s">
        <v>24</v>
      </c>
      <c r="F164" s="4" t="s">
        <v>31</v>
      </c>
      <c r="G164" s="2" t="s">
        <v>33</v>
      </c>
      <c r="H164" s="4">
        <v>9.87</v>
      </c>
      <c r="I164" s="4">
        <v>15.61</v>
      </c>
      <c r="J164" s="4">
        <v>29.79</v>
      </c>
      <c r="K164" s="4">
        <v>1.23</v>
      </c>
      <c r="L164" s="4">
        <v>59</v>
      </c>
      <c r="M164" s="4">
        <f t="shared" si="6"/>
        <v>16.728813559322</v>
      </c>
      <c r="N164" s="4">
        <f t="shared" si="7"/>
        <v>0.331319234642497</v>
      </c>
      <c r="O164" s="4">
        <f t="shared" si="8"/>
        <v>8.02439024390244</v>
      </c>
      <c r="P164" s="4">
        <v>17.7</v>
      </c>
      <c r="Q164" s="4">
        <v>6.07</v>
      </c>
      <c r="R164" s="4">
        <v>2.01</v>
      </c>
      <c r="S164" s="4">
        <v>6.02</v>
      </c>
      <c r="T164" s="4">
        <v>165</v>
      </c>
      <c r="U164" s="4">
        <v>6</v>
      </c>
      <c r="V164" s="4">
        <v>1</v>
      </c>
    </row>
    <row r="165" spans="1:22">
      <c r="A165" s="7" t="s">
        <v>169</v>
      </c>
      <c r="B165" s="4" t="s">
        <v>41</v>
      </c>
      <c r="C165" s="4">
        <v>69</v>
      </c>
      <c r="D165" s="9" t="s">
        <v>42</v>
      </c>
      <c r="E165" s="4" t="s">
        <v>24</v>
      </c>
      <c r="F165" s="4" t="s">
        <v>25</v>
      </c>
      <c r="G165" s="4" t="s">
        <v>25</v>
      </c>
      <c r="H165" s="4">
        <v>2.24</v>
      </c>
      <c r="I165" s="4">
        <v>22.58</v>
      </c>
      <c r="J165" s="4">
        <v>9.91</v>
      </c>
      <c r="K165" s="4">
        <v>2.46</v>
      </c>
      <c r="L165" s="4">
        <v>89</v>
      </c>
      <c r="M165" s="4">
        <f t="shared" si="6"/>
        <v>2.51685393258427</v>
      </c>
      <c r="N165" s="4">
        <f t="shared" si="7"/>
        <v>0.226034308779011</v>
      </c>
      <c r="O165" s="4">
        <f t="shared" si="8"/>
        <v>0.910569105691057</v>
      </c>
      <c r="P165" s="4">
        <v>15.8</v>
      </c>
      <c r="Q165" s="4">
        <v>3.49</v>
      </c>
      <c r="R165" s="4">
        <v>2.38</v>
      </c>
      <c r="S165" s="4">
        <v>13.46</v>
      </c>
      <c r="T165" s="4">
        <v>39</v>
      </c>
      <c r="U165" s="4">
        <v>57</v>
      </c>
      <c r="V165" s="4">
        <v>0</v>
      </c>
    </row>
    <row r="166" ht="13.9" spans="1:22">
      <c r="A166" s="7" t="s">
        <v>170</v>
      </c>
      <c r="B166" s="4" t="s">
        <v>41</v>
      </c>
      <c r="C166" s="4">
        <v>72</v>
      </c>
      <c r="D166" s="9" t="s">
        <v>61</v>
      </c>
      <c r="E166" s="4" t="s">
        <v>24</v>
      </c>
      <c r="F166" s="4" t="s">
        <v>25</v>
      </c>
      <c r="G166" s="4" t="s">
        <v>25</v>
      </c>
      <c r="H166" s="4">
        <v>7.58</v>
      </c>
      <c r="I166" s="4">
        <v>9.16</v>
      </c>
      <c r="J166" s="4">
        <v>5.01</v>
      </c>
      <c r="K166" s="4">
        <v>1.8</v>
      </c>
      <c r="L166" s="4"/>
      <c r="M166" s="4" t="e">
        <f t="shared" si="6"/>
        <v>#DIV/0!</v>
      </c>
      <c r="N166" s="4">
        <f t="shared" si="7"/>
        <v>1.51297405189621</v>
      </c>
      <c r="O166" s="4">
        <f t="shared" si="8"/>
        <v>4.21111111111111</v>
      </c>
      <c r="P166" s="4">
        <v>13.9</v>
      </c>
      <c r="Q166" s="4">
        <v>4.52</v>
      </c>
      <c r="R166" s="4">
        <v>10.34</v>
      </c>
      <c r="S166" s="4">
        <v>29.33</v>
      </c>
      <c r="T166" s="4">
        <v>213</v>
      </c>
      <c r="U166" s="4">
        <v>21</v>
      </c>
      <c r="V166" s="4">
        <v>0</v>
      </c>
    </row>
    <row r="167" spans="1:22">
      <c r="A167" s="7" t="s">
        <v>171</v>
      </c>
      <c r="B167" s="4" t="s">
        <v>45</v>
      </c>
      <c r="C167" s="4">
        <v>55</v>
      </c>
      <c r="D167" s="9" t="s">
        <v>42</v>
      </c>
      <c r="E167" s="4" t="s">
        <v>29</v>
      </c>
      <c r="F167" s="4" t="s">
        <v>29</v>
      </c>
      <c r="G167" s="4" t="s">
        <v>29</v>
      </c>
      <c r="H167" s="4">
        <v>10.52</v>
      </c>
      <c r="I167" s="4">
        <v>24.56</v>
      </c>
      <c r="J167" s="4">
        <v>35.59</v>
      </c>
      <c r="K167" s="4">
        <v>0.91</v>
      </c>
      <c r="L167" s="4">
        <v>51</v>
      </c>
      <c r="M167" s="4">
        <f t="shared" si="6"/>
        <v>20.6274509803922</v>
      </c>
      <c r="N167" s="4">
        <f t="shared" si="7"/>
        <v>0.295588648496769</v>
      </c>
      <c r="O167" s="4">
        <f t="shared" si="8"/>
        <v>11.5604395604396</v>
      </c>
      <c r="P167" s="4">
        <v>15.9</v>
      </c>
      <c r="Q167" s="4">
        <v>3.38</v>
      </c>
      <c r="R167" s="4">
        <v>2.98</v>
      </c>
      <c r="S167" s="4">
        <v>17.1</v>
      </c>
      <c r="T167" s="4">
        <v>28</v>
      </c>
      <c r="U167" s="4">
        <v>5</v>
      </c>
      <c r="V167" s="4">
        <v>1</v>
      </c>
    </row>
    <row r="168" spans="1:22">
      <c r="A168" s="7" t="s">
        <v>172</v>
      </c>
      <c r="B168" s="4" t="s">
        <v>41</v>
      </c>
      <c r="C168" s="4">
        <v>63</v>
      </c>
      <c r="D168" s="9" t="s">
        <v>42</v>
      </c>
      <c r="E168" s="4" t="s">
        <v>24</v>
      </c>
      <c r="F168" s="4" t="s">
        <v>25</v>
      </c>
      <c r="G168" s="4" t="s">
        <v>25</v>
      </c>
      <c r="H168" s="4">
        <v>7.38</v>
      </c>
      <c r="I168" s="4">
        <v>15.12</v>
      </c>
      <c r="J168" s="4">
        <v>5.11</v>
      </c>
      <c r="K168" s="4">
        <v>0.74</v>
      </c>
      <c r="L168" s="4">
        <v>68</v>
      </c>
      <c r="M168" s="4">
        <f t="shared" si="6"/>
        <v>10.8529411764706</v>
      </c>
      <c r="N168" s="4">
        <f t="shared" si="7"/>
        <v>1.44422700587084</v>
      </c>
      <c r="O168" s="4">
        <f t="shared" si="8"/>
        <v>9.97297297297297</v>
      </c>
      <c r="P168" s="4">
        <v>14.1</v>
      </c>
      <c r="Q168" s="4">
        <v>2.42</v>
      </c>
      <c r="R168" s="4">
        <v>0.8</v>
      </c>
      <c r="S168" s="4">
        <v>2.81</v>
      </c>
      <c r="T168" s="4">
        <v>167</v>
      </c>
      <c r="U168" s="4">
        <v>29</v>
      </c>
      <c r="V168" s="4">
        <v>0</v>
      </c>
    </row>
    <row r="169" spans="1:22">
      <c r="A169" s="7" t="s">
        <v>173</v>
      </c>
      <c r="B169" s="4" t="s">
        <v>41</v>
      </c>
      <c r="C169" s="4">
        <v>42</v>
      </c>
      <c r="D169" s="9" t="s">
        <v>42</v>
      </c>
      <c r="E169" s="4" t="s">
        <v>24</v>
      </c>
      <c r="F169" s="4" t="s">
        <v>25</v>
      </c>
      <c r="G169" s="4" t="s">
        <v>25</v>
      </c>
      <c r="H169" s="4">
        <v>18.11</v>
      </c>
      <c r="I169" s="4">
        <v>30.31</v>
      </c>
      <c r="J169" s="4">
        <v>6.27</v>
      </c>
      <c r="K169" s="4">
        <v>2.75</v>
      </c>
      <c r="L169" s="4"/>
      <c r="M169" s="4" t="e">
        <f t="shared" si="6"/>
        <v>#DIV/0!</v>
      </c>
      <c r="N169" s="4">
        <f t="shared" si="7"/>
        <v>2.88835725677831</v>
      </c>
      <c r="O169" s="4">
        <f t="shared" si="8"/>
        <v>6.58545454545455</v>
      </c>
      <c r="P169" s="4">
        <v>12.4</v>
      </c>
      <c r="Q169" s="4">
        <v>4.62</v>
      </c>
      <c r="R169" s="4">
        <v>28.63</v>
      </c>
      <c r="S169" s="4"/>
      <c r="T169" s="4">
        <v>358</v>
      </c>
      <c r="U169" s="4">
        <v>19</v>
      </c>
      <c r="V169" s="4">
        <v>1</v>
      </c>
    </row>
    <row r="170" ht="13.9" spans="1:22">
      <c r="A170" s="7" t="s">
        <v>174</v>
      </c>
      <c r="B170" s="4" t="s">
        <v>41</v>
      </c>
      <c r="C170" s="4">
        <v>96</v>
      </c>
      <c r="D170" s="9" t="s">
        <v>61</v>
      </c>
      <c r="E170" s="4" t="s">
        <v>24</v>
      </c>
      <c r="F170" s="4" t="s">
        <v>25</v>
      </c>
      <c r="G170" s="4" t="s">
        <v>25</v>
      </c>
      <c r="H170" s="4">
        <v>2</v>
      </c>
      <c r="I170" s="4">
        <v>11.4</v>
      </c>
      <c r="J170" s="4">
        <v>19.93</v>
      </c>
      <c r="K170" s="4">
        <v>2.08</v>
      </c>
      <c r="L170" s="4">
        <v>84</v>
      </c>
      <c r="M170" s="4">
        <f t="shared" si="6"/>
        <v>2.38095238095238</v>
      </c>
      <c r="N170" s="4">
        <f t="shared" si="7"/>
        <v>0.100351229302559</v>
      </c>
      <c r="O170" s="4">
        <f t="shared" si="8"/>
        <v>0.961538461538461</v>
      </c>
      <c r="P170" s="4">
        <v>14.1</v>
      </c>
      <c r="Q170" s="4">
        <v>6.47</v>
      </c>
      <c r="R170" s="4">
        <v>1</v>
      </c>
      <c r="S170" s="4">
        <v>3.19</v>
      </c>
      <c r="T170" s="4">
        <v>154</v>
      </c>
      <c r="U170" s="4">
        <v>28</v>
      </c>
      <c r="V170" s="4">
        <v>0</v>
      </c>
    </row>
    <row r="171" spans="1:22">
      <c r="A171" s="7" t="s">
        <v>175</v>
      </c>
      <c r="B171" s="4" t="s">
        <v>45</v>
      </c>
      <c r="C171" s="4">
        <v>81</v>
      </c>
      <c r="D171" s="9" t="s">
        <v>42</v>
      </c>
      <c r="E171" s="4" t="s">
        <v>24</v>
      </c>
      <c r="F171" s="4" t="s">
        <v>31</v>
      </c>
      <c r="G171" s="2" t="s">
        <v>32</v>
      </c>
      <c r="H171" s="4">
        <v>19.28</v>
      </c>
      <c r="I171" s="4">
        <v>25.74</v>
      </c>
      <c r="J171" s="4">
        <v>60.41</v>
      </c>
      <c r="K171" s="4">
        <v>0.52</v>
      </c>
      <c r="L171" s="4"/>
      <c r="M171" s="4" t="e">
        <f t="shared" si="6"/>
        <v>#DIV/0!</v>
      </c>
      <c r="N171" s="4">
        <f t="shared" si="7"/>
        <v>0.319152458202284</v>
      </c>
      <c r="O171" s="4">
        <f t="shared" si="8"/>
        <v>37.0769230769231</v>
      </c>
      <c r="P171" s="4">
        <v>11.2</v>
      </c>
      <c r="Q171" s="4">
        <v>5.32</v>
      </c>
      <c r="R171" s="4">
        <v>2.66</v>
      </c>
      <c r="S171" s="4">
        <v>10.94</v>
      </c>
      <c r="T171" s="4">
        <v>60</v>
      </c>
      <c r="U171" s="4">
        <v>17</v>
      </c>
      <c r="V171" s="4">
        <v>1</v>
      </c>
    </row>
    <row r="172" spans="1:22">
      <c r="A172" s="7" t="s">
        <v>175</v>
      </c>
      <c r="B172" s="4" t="s">
        <v>45</v>
      </c>
      <c r="C172" s="4">
        <v>81</v>
      </c>
      <c r="D172" s="9" t="s">
        <v>42</v>
      </c>
      <c r="E172" s="4" t="s">
        <v>24</v>
      </c>
      <c r="F172" s="4" t="s">
        <v>31</v>
      </c>
      <c r="G172" s="2" t="s">
        <v>33</v>
      </c>
      <c r="H172" s="4">
        <v>9.44</v>
      </c>
      <c r="I172" s="4">
        <v>17.7</v>
      </c>
      <c r="J172" s="4">
        <v>55.28</v>
      </c>
      <c r="K172" s="4">
        <v>3.27</v>
      </c>
      <c r="L172" s="4"/>
      <c r="M172" s="4" t="e">
        <f t="shared" si="6"/>
        <v>#DIV/0!</v>
      </c>
      <c r="N172" s="4">
        <f t="shared" si="7"/>
        <v>0.170767004341534</v>
      </c>
      <c r="O172" s="4">
        <f t="shared" si="8"/>
        <v>2.8868501529052</v>
      </c>
      <c r="P172" s="4">
        <v>10.2</v>
      </c>
      <c r="Q172" s="4">
        <v>2.89</v>
      </c>
      <c r="R172" s="4">
        <v>10.39</v>
      </c>
      <c r="S172" s="4">
        <v>41.65</v>
      </c>
      <c r="T172" s="4">
        <v>71</v>
      </c>
      <c r="U172" s="4">
        <v>17</v>
      </c>
      <c r="V172" s="4">
        <v>1</v>
      </c>
    </row>
    <row r="173" spans="1:22">
      <c r="A173" s="7" t="s">
        <v>175</v>
      </c>
      <c r="B173" s="4" t="s">
        <v>45</v>
      </c>
      <c r="C173" s="4">
        <v>81</v>
      </c>
      <c r="D173" s="9" t="s">
        <v>42</v>
      </c>
      <c r="E173" s="4" t="s">
        <v>24</v>
      </c>
      <c r="F173" s="4" t="s">
        <v>31</v>
      </c>
      <c r="G173" s="2" t="s">
        <v>33</v>
      </c>
      <c r="H173" s="4">
        <v>11.9</v>
      </c>
      <c r="I173" s="4">
        <v>11.86</v>
      </c>
      <c r="J173" s="4">
        <v>20.77</v>
      </c>
      <c r="K173" s="4">
        <v>1.66</v>
      </c>
      <c r="L173" s="4">
        <v>50</v>
      </c>
      <c r="M173" s="4">
        <f t="shared" si="6"/>
        <v>23.8</v>
      </c>
      <c r="N173" s="4">
        <f t="shared" si="7"/>
        <v>0.572941742898411</v>
      </c>
      <c r="O173" s="4">
        <f t="shared" si="8"/>
        <v>7.16867469879518</v>
      </c>
      <c r="P173" s="4">
        <v>11.9</v>
      </c>
      <c r="Q173" s="4">
        <v>2.09</v>
      </c>
      <c r="R173" s="4">
        <v>4.95</v>
      </c>
      <c r="S173" s="4"/>
      <c r="T173" s="4">
        <v>100</v>
      </c>
      <c r="U173" s="4">
        <v>17</v>
      </c>
      <c r="V173" s="4">
        <v>1</v>
      </c>
    </row>
    <row r="174" spans="1:22">
      <c r="A174" s="1" t="s">
        <v>176</v>
      </c>
      <c r="B174" s="2" t="s">
        <v>45</v>
      </c>
      <c r="C174" s="2">
        <v>69</v>
      </c>
      <c r="D174" s="9" t="s">
        <v>28</v>
      </c>
      <c r="E174" s="4" t="s">
        <v>29</v>
      </c>
      <c r="F174" s="4" t="s">
        <v>29</v>
      </c>
      <c r="G174" s="4" t="s">
        <v>29</v>
      </c>
      <c r="H174" s="2">
        <v>230.48</v>
      </c>
      <c r="I174" s="2">
        <v>26.33</v>
      </c>
      <c r="J174" s="2">
        <v>16.05</v>
      </c>
      <c r="K174" s="2">
        <v>11.11</v>
      </c>
      <c r="L174" s="2">
        <v>42</v>
      </c>
      <c r="M174" s="4">
        <f t="shared" si="6"/>
        <v>548.761904761905</v>
      </c>
      <c r="N174" s="4">
        <f t="shared" si="7"/>
        <v>14.3601246105919</v>
      </c>
      <c r="O174" s="4">
        <f t="shared" si="8"/>
        <v>20.7452745274527</v>
      </c>
      <c r="P174" s="2">
        <v>18.7</v>
      </c>
      <c r="Q174" s="2">
        <v>1.39</v>
      </c>
      <c r="R174" s="2">
        <v>20</v>
      </c>
      <c r="S174" s="2">
        <v>150</v>
      </c>
      <c r="T174" s="2">
        <v>30</v>
      </c>
      <c r="U174" s="4">
        <v>19</v>
      </c>
      <c r="V174" s="4">
        <v>0</v>
      </c>
    </row>
    <row r="175" spans="1:22">
      <c r="A175" s="7" t="s">
        <v>177</v>
      </c>
      <c r="B175" s="4" t="s">
        <v>41</v>
      </c>
      <c r="C175" s="4">
        <v>54</v>
      </c>
      <c r="D175" s="9" t="s">
        <v>28</v>
      </c>
      <c r="E175" s="4" t="s">
        <v>24</v>
      </c>
      <c r="F175" s="4" t="s">
        <v>31</v>
      </c>
      <c r="G175" s="2" t="s">
        <v>32</v>
      </c>
      <c r="H175" s="4">
        <v>13.99</v>
      </c>
      <c r="I175" s="4">
        <v>10.95</v>
      </c>
      <c r="J175" s="4">
        <v>27.02</v>
      </c>
      <c r="K175" s="4">
        <v>0.48</v>
      </c>
      <c r="L175" s="4">
        <v>72</v>
      </c>
      <c r="M175" s="4">
        <f t="shared" si="6"/>
        <v>19.4305555555556</v>
      </c>
      <c r="N175" s="4">
        <f t="shared" si="7"/>
        <v>0.517764618800888</v>
      </c>
      <c r="O175" s="4">
        <f t="shared" si="8"/>
        <v>29.1458333333333</v>
      </c>
      <c r="P175" s="4">
        <v>13.9</v>
      </c>
      <c r="Q175" s="4">
        <v>4.06</v>
      </c>
      <c r="R175" s="4">
        <v>0.57</v>
      </c>
      <c r="S175" s="4">
        <v>3.22</v>
      </c>
      <c r="T175" s="4">
        <v>140</v>
      </c>
      <c r="U175" s="4">
        <v>6</v>
      </c>
      <c r="V175" s="4">
        <v>1</v>
      </c>
    </row>
    <row r="176" spans="1:22">
      <c r="A176" s="7" t="s">
        <v>178</v>
      </c>
      <c r="B176" s="4" t="s">
        <v>41</v>
      </c>
      <c r="C176" s="4">
        <v>75</v>
      </c>
      <c r="D176" s="9" t="s">
        <v>28</v>
      </c>
      <c r="E176" s="4" t="s">
        <v>24</v>
      </c>
      <c r="F176" s="4" t="s">
        <v>25</v>
      </c>
      <c r="G176" s="4" t="s">
        <v>25</v>
      </c>
      <c r="H176" s="4">
        <v>37.93</v>
      </c>
      <c r="I176" s="4">
        <v>14.28</v>
      </c>
      <c r="J176" s="4">
        <v>14.38</v>
      </c>
      <c r="K176" s="4">
        <v>17.31</v>
      </c>
      <c r="L176" s="4">
        <v>86</v>
      </c>
      <c r="M176" s="4">
        <f t="shared" si="6"/>
        <v>44.1046511627907</v>
      </c>
      <c r="N176" s="4">
        <f t="shared" si="7"/>
        <v>2.63769123783032</v>
      </c>
      <c r="O176" s="4">
        <f t="shared" si="8"/>
        <v>2.19121894858463</v>
      </c>
      <c r="P176" s="4">
        <v>15.1</v>
      </c>
      <c r="Q176" s="4">
        <v>1.98</v>
      </c>
      <c r="R176" s="4">
        <v>20</v>
      </c>
      <c r="S176" s="4">
        <v>58.19</v>
      </c>
      <c r="T176" s="4">
        <v>219</v>
      </c>
      <c r="U176" s="4">
        <v>30</v>
      </c>
      <c r="V176" s="4">
        <v>1</v>
      </c>
    </row>
    <row r="177" ht="13.9" spans="1:22">
      <c r="A177" s="7" t="s">
        <v>179</v>
      </c>
      <c r="B177" s="4" t="s">
        <v>45</v>
      </c>
      <c r="C177" s="4">
        <v>57</v>
      </c>
      <c r="D177" s="9" t="s">
        <v>61</v>
      </c>
      <c r="E177" s="4" t="s">
        <v>29</v>
      </c>
      <c r="F177" s="4" t="s">
        <v>29</v>
      </c>
      <c r="G177" s="4" t="s">
        <v>29</v>
      </c>
      <c r="H177" s="4">
        <v>18.47</v>
      </c>
      <c r="I177" s="4">
        <v>13.28</v>
      </c>
      <c r="J177" s="4">
        <v>14.67</v>
      </c>
      <c r="K177" s="4">
        <v>0.51</v>
      </c>
      <c r="L177" s="4"/>
      <c r="M177" s="4" t="e">
        <f t="shared" si="6"/>
        <v>#DIV/0!</v>
      </c>
      <c r="N177" s="4">
        <f t="shared" si="7"/>
        <v>1.25903203817314</v>
      </c>
      <c r="O177" s="4">
        <f t="shared" si="8"/>
        <v>36.2156862745098</v>
      </c>
      <c r="P177" s="4">
        <v>17.6</v>
      </c>
      <c r="Q177" s="4">
        <v>2.19</v>
      </c>
      <c r="R177" s="4">
        <v>33.91</v>
      </c>
      <c r="S177" s="4"/>
      <c r="T177" s="4">
        <v>15</v>
      </c>
      <c r="U177" s="4">
        <v>14</v>
      </c>
      <c r="V177" s="4">
        <v>1</v>
      </c>
    </row>
    <row r="178" ht="13.9" spans="1:22">
      <c r="A178" s="7" t="s">
        <v>179</v>
      </c>
      <c r="B178" s="4" t="s">
        <v>45</v>
      </c>
      <c r="C178" s="4">
        <v>57</v>
      </c>
      <c r="D178" s="9" t="s">
        <v>61</v>
      </c>
      <c r="E178" s="4" t="s">
        <v>24</v>
      </c>
      <c r="F178" s="4" t="s">
        <v>31</v>
      </c>
      <c r="G178" s="2" t="s">
        <v>32</v>
      </c>
      <c r="H178" s="4">
        <v>55.68</v>
      </c>
      <c r="I178" s="4">
        <v>13.03</v>
      </c>
      <c r="J178" s="4">
        <v>13.07</v>
      </c>
      <c r="K178" s="4">
        <v>3.37</v>
      </c>
      <c r="L178" s="4"/>
      <c r="M178" s="4" t="e">
        <f t="shared" si="6"/>
        <v>#DIV/0!</v>
      </c>
      <c r="N178" s="4">
        <f t="shared" si="7"/>
        <v>4.2601377199694</v>
      </c>
      <c r="O178" s="4">
        <f t="shared" si="8"/>
        <v>16.5222551928783</v>
      </c>
      <c r="P178" s="4">
        <v>13.3</v>
      </c>
      <c r="Q178" s="4">
        <v>2.83</v>
      </c>
      <c r="R178" s="4">
        <v>20</v>
      </c>
      <c r="S178" s="4">
        <v>80</v>
      </c>
      <c r="T178" s="4">
        <v>52</v>
      </c>
      <c r="U178" s="4">
        <v>14</v>
      </c>
      <c r="V178" s="4">
        <v>1</v>
      </c>
    </row>
    <row r="179" ht="13.9" spans="1:22">
      <c r="A179" s="7" t="s">
        <v>179</v>
      </c>
      <c r="B179" s="4" t="s">
        <v>45</v>
      </c>
      <c r="C179" s="4">
        <v>57</v>
      </c>
      <c r="D179" s="9" t="s">
        <v>61</v>
      </c>
      <c r="E179" s="4" t="s">
        <v>24</v>
      </c>
      <c r="F179" s="4" t="s">
        <v>31</v>
      </c>
      <c r="G179" s="2" t="s">
        <v>33</v>
      </c>
      <c r="H179" s="4">
        <v>119.34</v>
      </c>
      <c r="I179" s="4">
        <v>11.4</v>
      </c>
      <c r="J179" s="4">
        <v>14.1</v>
      </c>
      <c r="K179" s="4">
        <v>4.83</v>
      </c>
      <c r="L179" s="4"/>
      <c r="M179" s="4" t="e">
        <f t="shared" si="6"/>
        <v>#DIV/0!</v>
      </c>
      <c r="N179" s="4">
        <f t="shared" si="7"/>
        <v>8.46382978723404</v>
      </c>
      <c r="O179" s="4">
        <f t="shared" si="8"/>
        <v>24.7080745341615</v>
      </c>
      <c r="P179" s="4">
        <v>13.8</v>
      </c>
      <c r="Q179" s="4">
        <v>2.92</v>
      </c>
      <c r="R179" s="4">
        <v>33.79</v>
      </c>
      <c r="S179" s="4"/>
      <c r="T179" s="4">
        <v>54</v>
      </c>
      <c r="U179" s="4">
        <v>14</v>
      </c>
      <c r="V179" s="4">
        <v>1</v>
      </c>
    </row>
    <row r="180" spans="1:22">
      <c r="A180" s="7" t="s">
        <v>180</v>
      </c>
      <c r="B180" s="4" t="s">
        <v>41</v>
      </c>
      <c r="C180" s="4">
        <v>63</v>
      </c>
      <c r="D180" s="9" t="s">
        <v>42</v>
      </c>
      <c r="E180" s="4" t="s">
        <v>29</v>
      </c>
      <c r="F180" s="4" t="s">
        <v>29</v>
      </c>
      <c r="G180" s="4" t="s">
        <v>29</v>
      </c>
      <c r="H180" s="4">
        <v>5.55</v>
      </c>
      <c r="I180" s="4">
        <v>24.24</v>
      </c>
      <c r="J180" s="4">
        <v>17.57</v>
      </c>
      <c r="K180" s="4">
        <v>1.71</v>
      </c>
      <c r="L180" s="4"/>
      <c r="M180" s="4" t="e">
        <f t="shared" si="6"/>
        <v>#DIV/0!</v>
      </c>
      <c r="N180" s="4">
        <f t="shared" si="7"/>
        <v>0.315879339783722</v>
      </c>
      <c r="O180" s="4">
        <f t="shared" si="8"/>
        <v>3.24561403508772</v>
      </c>
      <c r="P180" s="4">
        <v>13.5</v>
      </c>
      <c r="Q180" s="4">
        <v>3.53</v>
      </c>
      <c r="R180" s="4">
        <v>10.52</v>
      </c>
      <c r="S180" s="4">
        <v>24.41</v>
      </c>
      <c r="T180" s="4">
        <v>35</v>
      </c>
      <c r="U180" s="4">
        <v>54</v>
      </c>
      <c r="V180" s="4">
        <v>1</v>
      </c>
    </row>
    <row r="181" spans="1:22">
      <c r="A181" s="7" t="s">
        <v>180</v>
      </c>
      <c r="B181" s="4" t="s">
        <v>41</v>
      </c>
      <c r="C181" s="4">
        <v>63</v>
      </c>
      <c r="D181" s="9" t="s">
        <v>42</v>
      </c>
      <c r="E181" s="4" t="s">
        <v>24</v>
      </c>
      <c r="F181" s="4" t="s">
        <v>25</v>
      </c>
      <c r="G181" s="4" t="s">
        <v>25</v>
      </c>
      <c r="H181" s="4">
        <v>2.76</v>
      </c>
      <c r="I181" s="4">
        <v>12.76</v>
      </c>
      <c r="J181" s="4">
        <v>8.05</v>
      </c>
      <c r="K181" s="4">
        <v>1.15</v>
      </c>
      <c r="L181" s="4"/>
      <c r="M181" s="4" t="e">
        <f t="shared" si="6"/>
        <v>#DIV/0!</v>
      </c>
      <c r="N181" s="4">
        <f t="shared" si="7"/>
        <v>0.342857142857143</v>
      </c>
      <c r="O181" s="4">
        <f t="shared" si="8"/>
        <v>2.4</v>
      </c>
      <c r="P181" s="4">
        <v>11</v>
      </c>
      <c r="Q181" s="4">
        <v>3.93</v>
      </c>
      <c r="R181" s="4">
        <v>0.85</v>
      </c>
      <c r="S181" s="4"/>
      <c r="T181" s="4">
        <v>241</v>
      </c>
      <c r="U181" s="4">
        <v>54</v>
      </c>
      <c r="V181" s="4">
        <v>1</v>
      </c>
    </row>
    <row r="182" spans="1:22">
      <c r="A182" s="7" t="s">
        <v>180</v>
      </c>
      <c r="B182" s="4" t="s">
        <v>41</v>
      </c>
      <c r="C182" s="4">
        <v>63</v>
      </c>
      <c r="D182" s="9" t="s">
        <v>42</v>
      </c>
      <c r="E182" s="4" t="s">
        <v>24</v>
      </c>
      <c r="F182" s="4" t="s">
        <v>25</v>
      </c>
      <c r="G182" s="4" t="s">
        <v>25</v>
      </c>
      <c r="H182" s="4">
        <v>1.24</v>
      </c>
      <c r="I182" s="4">
        <v>13.09</v>
      </c>
      <c r="J182" s="4">
        <v>5.72</v>
      </c>
      <c r="K182" s="4">
        <v>1.59</v>
      </c>
      <c r="L182" s="4"/>
      <c r="M182" s="4" t="e">
        <f t="shared" si="6"/>
        <v>#DIV/0!</v>
      </c>
      <c r="N182" s="4">
        <f t="shared" si="7"/>
        <v>0.216783216783217</v>
      </c>
      <c r="O182" s="4">
        <f t="shared" si="8"/>
        <v>0.779874213836478</v>
      </c>
      <c r="P182" s="4">
        <v>11.2</v>
      </c>
      <c r="Q182" s="4">
        <v>4.43</v>
      </c>
      <c r="R182" s="4">
        <v>0.88</v>
      </c>
      <c r="S182" s="4">
        <v>2.62</v>
      </c>
      <c r="T182" s="4">
        <v>377</v>
      </c>
      <c r="U182" s="4">
        <v>54</v>
      </c>
      <c r="V182" s="4">
        <v>1</v>
      </c>
    </row>
    <row r="183" spans="1:22">
      <c r="A183" s="7" t="s">
        <v>181</v>
      </c>
      <c r="B183" s="4" t="s">
        <v>41</v>
      </c>
      <c r="C183" s="4">
        <v>70</v>
      </c>
      <c r="D183" s="9" t="s">
        <v>42</v>
      </c>
      <c r="E183" s="4" t="s">
        <v>24</v>
      </c>
      <c r="F183" s="4" t="s">
        <v>25</v>
      </c>
      <c r="G183" s="4" t="s">
        <v>25</v>
      </c>
      <c r="H183" s="4">
        <v>27.58</v>
      </c>
      <c r="I183" s="4">
        <v>14.67</v>
      </c>
      <c r="J183" s="4">
        <v>22.27</v>
      </c>
      <c r="K183" s="4">
        <v>0.83</v>
      </c>
      <c r="L183" s="4">
        <v>85</v>
      </c>
      <c r="M183" s="4">
        <f t="shared" si="6"/>
        <v>32.4470588235294</v>
      </c>
      <c r="N183" s="4">
        <f t="shared" si="7"/>
        <v>1.2384373596767</v>
      </c>
      <c r="O183" s="4">
        <f t="shared" si="8"/>
        <v>33.2289156626506</v>
      </c>
      <c r="P183" s="4">
        <v>13.9</v>
      </c>
      <c r="Q183" s="4">
        <v>3.3</v>
      </c>
      <c r="R183" s="4">
        <v>20</v>
      </c>
      <c r="S183" s="4">
        <v>150</v>
      </c>
      <c r="T183" s="4">
        <v>240</v>
      </c>
      <c r="U183" s="4">
        <v>35</v>
      </c>
      <c r="V183" s="4">
        <v>0</v>
      </c>
    </row>
    <row r="184" spans="1:22">
      <c r="A184" s="7" t="s">
        <v>182</v>
      </c>
      <c r="B184" s="4" t="s">
        <v>45</v>
      </c>
      <c r="C184" s="4">
        <v>62</v>
      </c>
      <c r="D184" s="9" t="s">
        <v>42</v>
      </c>
      <c r="E184" s="4" t="s">
        <v>29</v>
      </c>
      <c r="F184" s="4" t="s">
        <v>29</v>
      </c>
      <c r="G184" s="4" t="s">
        <v>29</v>
      </c>
      <c r="H184" s="4">
        <v>76.62</v>
      </c>
      <c r="I184" s="4">
        <v>14.44</v>
      </c>
      <c r="J184" s="4">
        <v>6.86</v>
      </c>
      <c r="K184" s="4">
        <v>27.82</v>
      </c>
      <c r="L184" s="4"/>
      <c r="M184" s="4" t="e">
        <f t="shared" si="6"/>
        <v>#DIV/0!</v>
      </c>
      <c r="N184" s="4">
        <f t="shared" si="7"/>
        <v>11.1690962099125</v>
      </c>
      <c r="O184" s="4">
        <f t="shared" si="8"/>
        <v>2.75413371675054</v>
      </c>
      <c r="P184" s="4">
        <v>14.9</v>
      </c>
      <c r="Q184" s="4">
        <v>1.4</v>
      </c>
      <c r="R184" s="4">
        <v>20</v>
      </c>
      <c r="S184" s="4">
        <v>67.83</v>
      </c>
      <c r="T184" s="4">
        <v>49</v>
      </c>
      <c r="U184" s="4">
        <v>15</v>
      </c>
      <c r="V184" s="4">
        <v>1</v>
      </c>
    </row>
    <row r="185" spans="1:22">
      <c r="A185" s="1" t="s">
        <v>183</v>
      </c>
      <c r="B185" s="2" t="s">
        <v>45</v>
      </c>
      <c r="C185" s="2">
        <v>66</v>
      </c>
      <c r="D185" s="9" t="s">
        <v>28</v>
      </c>
      <c r="E185" s="4" t="s">
        <v>29</v>
      </c>
      <c r="F185" s="4" t="s">
        <v>29</v>
      </c>
      <c r="G185" s="4" t="s">
        <v>29</v>
      </c>
      <c r="H185" s="2">
        <v>49.1</v>
      </c>
      <c r="I185" s="2">
        <v>97.56</v>
      </c>
      <c r="J185" s="2">
        <v>27.74</v>
      </c>
      <c r="K185" s="2">
        <v>21.1</v>
      </c>
      <c r="L185" s="2">
        <v>39</v>
      </c>
      <c r="M185" s="4">
        <f t="shared" si="6"/>
        <v>125.897435897436</v>
      </c>
      <c r="N185" s="4">
        <f t="shared" si="7"/>
        <v>1.77000720980534</v>
      </c>
      <c r="O185" s="4">
        <f t="shared" si="8"/>
        <v>2.32701421800948</v>
      </c>
      <c r="P185" s="2">
        <v>24.9</v>
      </c>
      <c r="Q185" s="2">
        <v>1.4</v>
      </c>
      <c r="R185" s="2">
        <v>160.7</v>
      </c>
      <c r="S185" s="2"/>
      <c r="T185" s="2">
        <v>29</v>
      </c>
      <c r="U185" s="4">
        <v>5</v>
      </c>
      <c r="V185" s="4">
        <v>1</v>
      </c>
    </row>
    <row r="186" spans="1:22">
      <c r="A186" s="7" t="s">
        <v>184</v>
      </c>
      <c r="B186" s="4" t="s">
        <v>41</v>
      </c>
      <c r="C186" s="4">
        <v>72</v>
      </c>
      <c r="D186" s="9" t="s">
        <v>42</v>
      </c>
      <c r="E186" s="4" t="s">
        <v>24</v>
      </c>
      <c r="F186" s="4" t="s">
        <v>25</v>
      </c>
      <c r="G186" s="4" t="s">
        <v>25</v>
      </c>
      <c r="H186" s="4">
        <v>3.94</v>
      </c>
      <c r="I186" s="4">
        <v>9.41</v>
      </c>
      <c r="J186" s="4">
        <v>8.07</v>
      </c>
      <c r="K186" s="4">
        <v>2.95</v>
      </c>
      <c r="L186" s="4">
        <v>55</v>
      </c>
      <c r="M186" s="4">
        <f t="shared" si="6"/>
        <v>7.16363636363636</v>
      </c>
      <c r="N186" s="4">
        <f t="shared" si="7"/>
        <v>0.488228004956629</v>
      </c>
      <c r="O186" s="4">
        <f t="shared" si="8"/>
        <v>1.33559322033898</v>
      </c>
      <c r="P186" s="4">
        <v>13.9</v>
      </c>
      <c r="Q186" s="4">
        <v>3.77</v>
      </c>
      <c r="R186" s="4">
        <v>4.62</v>
      </c>
      <c r="S186" s="4">
        <v>15.66</v>
      </c>
      <c r="T186" s="4">
        <v>617</v>
      </c>
      <c r="U186" s="4">
        <v>34</v>
      </c>
      <c r="V186" s="4">
        <v>0</v>
      </c>
    </row>
    <row r="187" spans="1:22">
      <c r="A187" s="7" t="s">
        <v>185</v>
      </c>
      <c r="B187" s="4" t="s">
        <v>41</v>
      </c>
      <c r="C187" s="4">
        <v>73</v>
      </c>
      <c r="D187" s="9" t="s">
        <v>42</v>
      </c>
      <c r="E187" s="4" t="s">
        <v>24</v>
      </c>
      <c r="F187" s="4" t="s">
        <v>25</v>
      </c>
      <c r="G187" s="4" t="s">
        <v>25</v>
      </c>
      <c r="H187" s="4">
        <v>13.75</v>
      </c>
      <c r="I187" s="4">
        <v>9.74</v>
      </c>
      <c r="J187" s="4">
        <v>30.65</v>
      </c>
      <c r="K187" s="4">
        <v>1.31</v>
      </c>
      <c r="L187" s="4"/>
      <c r="M187" s="4" t="e">
        <f t="shared" si="6"/>
        <v>#DIV/0!</v>
      </c>
      <c r="N187" s="4">
        <f t="shared" si="7"/>
        <v>0.448613376835237</v>
      </c>
      <c r="O187" s="4">
        <f t="shared" si="8"/>
        <v>10.4961832061069</v>
      </c>
      <c r="P187" s="4">
        <v>10.7</v>
      </c>
      <c r="Q187" s="4">
        <v>2.61</v>
      </c>
      <c r="R187" s="4">
        <v>3.47</v>
      </c>
      <c r="S187" s="4">
        <v>10.92</v>
      </c>
      <c r="T187" s="4">
        <v>64</v>
      </c>
      <c r="U187" s="4">
        <v>56</v>
      </c>
      <c r="V187" s="4">
        <v>0</v>
      </c>
    </row>
    <row r="188" spans="1:22">
      <c r="A188" s="1" t="s">
        <v>186</v>
      </c>
      <c r="B188" s="2" t="s">
        <v>45</v>
      </c>
      <c r="C188" s="2">
        <v>72</v>
      </c>
      <c r="D188" s="9" t="s">
        <v>42</v>
      </c>
      <c r="E188" s="4" t="s">
        <v>24</v>
      </c>
      <c r="F188" s="4" t="s">
        <v>25</v>
      </c>
      <c r="G188" s="4" t="s">
        <v>25</v>
      </c>
      <c r="H188" s="2">
        <v>2.6</v>
      </c>
      <c r="I188" s="2">
        <v>21.29</v>
      </c>
      <c r="J188" s="2">
        <v>7.32</v>
      </c>
      <c r="K188" s="2">
        <v>0.76</v>
      </c>
      <c r="L188" s="2">
        <v>73</v>
      </c>
      <c r="M188" s="4">
        <f t="shared" si="6"/>
        <v>3.56164383561644</v>
      </c>
      <c r="N188" s="4">
        <f t="shared" si="7"/>
        <v>0.355191256830601</v>
      </c>
      <c r="O188" s="4">
        <f t="shared" si="8"/>
        <v>3.42105263157895</v>
      </c>
      <c r="P188" s="2">
        <v>12.1</v>
      </c>
      <c r="Q188" s="2">
        <v>2.89</v>
      </c>
      <c r="R188" s="2">
        <v>1.54</v>
      </c>
      <c r="S188" s="2"/>
      <c r="T188" s="2">
        <v>141</v>
      </c>
      <c r="U188" s="4">
        <v>19</v>
      </c>
      <c r="V188" s="4">
        <v>1</v>
      </c>
    </row>
    <row r="189" spans="1:22">
      <c r="A189" s="7" t="s">
        <v>187</v>
      </c>
      <c r="B189" s="4" t="s">
        <v>41</v>
      </c>
      <c r="C189" s="4">
        <v>43</v>
      </c>
      <c r="D189" s="9" t="s">
        <v>35</v>
      </c>
      <c r="E189" s="4" t="s">
        <v>24</v>
      </c>
      <c r="F189" s="4" t="s">
        <v>25</v>
      </c>
      <c r="G189" s="4" t="s">
        <v>25</v>
      </c>
      <c r="H189" s="4">
        <v>28.44</v>
      </c>
      <c r="I189" s="4">
        <v>13.66</v>
      </c>
      <c r="J189" s="4">
        <v>17.85</v>
      </c>
      <c r="K189" s="4">
        <v>0.98</v>
      </c>
      <c r="L189" s="4">
        <v>65</v>
      </c>
      <c r="M189" s="4">
        <f t="shared" si="6"/>
        <v>43.7538461538462</v>
      </c>
      <c r="N189" s="4">
        <f t="shared" si="7"/>
        <v>1.59327731092437</v>
      </c>
      <c r="O189" s="4">
        <f t="shared" si="8"/>
        <v>29.0204081632653</v>
      </c>
      <c r="P189" s="4">
        <v>14.9</v>
      </c>
      <c r="Q189" s="4">
        <v>10.21</v>
      </c>
      <c r="R189" s="4">
        <v>2.13</v>
      </c>
      <c r="S189" s="4">
        <v>7.33</v>
      </c>
      <c r="T189" s="4">
        <v>237</v>
      </c>
      <c r="U189" s="4">
        <v>22</v>
      </c>
      <c r="V189" s="4">
        <v>0</v>
      </c>
    </row>
    <row r="190" spans="1:22">
      <c r="A190" s="7" t="s">
        <v>188</v>
      </c>
      <c r="B190" s="4" t="s">
        <v>41</v>
      </c>
      <c r="C190" s="4">
        <v>57</v>
      </c>
      <c r="D190" s="9" t="s">
        <v>42</v>
      </c>
      <c r="E190" s="4" t="s">
        <v>24</v>
      </c>
      <c r="F190" s="4" t="s">
        <v>25</v>
      </c>
      <c r="G190" s="4" t="s">
        <v>25</v>
      </c>
      <c r="H190" s="4">
        <v>2.11</v>
      </c>
      <c r="I190" s="4">
        <v>22.34</v>
      </c>
      <c r="J190" s="4">
        <v>7.97</v>
      </c>
      <c r="K190" s="4">
        <v>1.68</v>
      </c>
      <c r="L190" s="4"/>
      <c r="M190" s="4" t="e">
        <f t="shared" si="6"/>
        <v>#DIV/0!</v>
      </c>
      <c r="N190" s="4">
        <f t="shared" si="7"/>
        <v>0.26474278544542</v>
      </c>
      <c r="O190" s="4">
        <f t="shared" si="8"/>
        <v>1.25595238095238</v>
      </c>
      <c r="P190" s="4">
        <v>13.4</v>
      </c>
      <c r="Q190" s="4">
        <v>3.8</v>
      </c>
      <c r="R190" s="4">
        <v>2.41</v>
      </c>
      <c r="S190" s="4"/>
      <c r="T190" s="4">
        <v>322</v>
      </c>
      <c r="U190" s="4">
        <v>74</v>
      </c>
      <c r="V190" s="4">
        <v>0</v>
      </c>
    </row>
    <row r="191" spans="1:22">
      <c r="A191" s="1" t="s">
        <v>189</v>
      </c>
      <c r="B191" s="2" t="s">
        <v>41</v>
      </c>
      <c r="C191" s="2">
        <v>83</v>
      </c>
      <c r="D191" s="9" t="s">
        <v>42</v>
      </c>
      <c r="E191" s="4" t="s">
        <v>29</v>
      </c>
      <c r="F191" s="4" t="s">
        <v>29</v>
      </c>
      <c r="G191" s="4" t="s">
        <v>29</v>
      </c>
      <c r="H191" s="2">
        <v>38.6</v>
      </c>
      <c r="I191" s="2">
        <v>32.09</v>
      </c>
      <c r="J191" s="2">
        <v>37.1</v>
      </c>
      <c r="K191" s="2">
        <v>4.3</v>
      </c>
      <c r="L191" s="2">
        <v>83</v>
      </c>
      <c r="M191" s="4">
        <f t="shared" si="6"/>
        <v>46.5060240963855</v>
      </c>
      <c r="N191" s="4">
        <f t="shared" si="7"/>
        <v>1.04043126684636</v>
      </c>
      <c r="O191" s="4">
        <f t="shared" si="8"/>
        <v>8.97674418604651</v>
      </c>
      <c r="P191" s="2">
        <v>18.9</v>
      </c>
      <c r="Q191" s="2">
        <v>2.75</v>
      </c>
      <c r="R191" s="2">
        <v>20</v>
      </c>
      <c r="S191" s="2">
        <v>74.38</v>
      </c>
      <c r="T191" s="2">
        <v>60</v>
      </c>
      <c r="U191" s="4">
        <v>24</v>
      </c>
      <c r="V191" s="4">
        <v>1</v>
      </c>
    </row>
    <row r="192" ht="13.9" spans="1:22">
      <c r="A192" s="7" t="s">
        <v>190</v>
      </c>
      <c r="B192" s="4" t="s">
        <v>45</v>
      </c>
      <c r="C192" s="4">
        <v>69</v>
      </c>
      <c r="D192" s="9" t="s">
        <v>61</v>
      </c>
      <c r="E192" s="4" t="s">
        <v>24</v>
      </c>
      <c r="F192" s="4" t="s">
        <v>25</v>
      </c>
      <c r="G192" s="4" t="s">
        <v>25</v>
      </c>
      <c r="H192" s="4">
        <v>16.03</v>
      </c>
      <c r="I192" s="4">
        <v>24.5</v>
      </c>
      <c r="J192" s="4">
        <v>11.69</v>
      </c>
      <c r="K192" s="4">
        <v>1.59</v>
      </c>
      <c r="L192" s="4">
        <v>110</v>
      </c>
      <c r="M192" s="4">
        <f t="shared" si="6"/>
        <v>14.5727272727273</v>
      </c>
      <c r="N192" s="4">
        <f t="shared" si="7"/>
        <v>1.37125748502994</v>
      </c>
      <c r="O192" s="4">
        <f t="shared" si="8"/>
        <v>10.0817610062893</v>
      </c>
      <c r="P192" s="4">
        <v>14.9</v>
      </c>
      <c r="Q192" s="4">
        <v>6.22</v>
      </c>
      <c r="R192" s="4">
        <v>5.57</v>
      </c>
      <c r="S192" s="4">
        <v>22.13</v>
      </c>
      <c r="T192" s="4">
        <v>171</v>
      </c>
      <c r="U192" s="4">
        <v>14</v>
      </c>
      <c r="V192" s="4">
        <v>1</v>
      </c>
    </row>
    <row r="193" spans="1:22">
      <c r="A193" s="7" t="s">
        <v>191</v>
      </c>
      <c r="B193" s="4" t="s">
        <v>45</v>
      </c>
      <c r="C193" s="4">
        <v>62</v>
      </c>
      <c r="D193" s="9" t="s">
        <v>42</v>
      </c>
      <c r="E193" s="4" t="s">
        <v>24</v>
      </c>
      <c r="F193" s="4" t="s">
        <v>25</v>
      </c>
      <c r="G193" s="4" t="s">
        <v>25</v>
      </c>
      <c r="H193" s="4">
        <v>11.89</v>
      </c>
      <c r="I193" s="4">
        <v>49.35</v>
      </c>
      <c r="J193" s="4">
        <v>15.77</v>
      </c>
      <c r="K193" s="4">
        <v>0.76</v>
      </c>
      <c r="L193" s="4">
        <v>112</v>
      </c>
      <c r="M193" s="4">
        <f t="shared" si="6"/>
        <v>10.6160714285714</v>
      </c>
      <c r="N193" s="4">
        <f t="shared" si="7"/>
        <v>0.753963221306278</v>
      </c>
      <c r="O193" s="4">
        <f t="shared" si="8"/>
        <v>15.6447368421053</v>
      </c>
      <c r="P193" s="4">
        <v>13</v>
      </c>
      <c r="Q193" s="4">
        <v>10.84</v>
      </c>
      <c r="R193" s="4">
        <v>1.4</v>
      </c>
      <c r="S193" s="4">
        <v>6.64</v>
      </c>
      <c r="T193" s="4">
        <v>63</v>
      </c>
      <c r="U193" s="4">
        <v>36</v>
      </c>
      <c r="V193" s="4">
        <v>0</v>
      </c>
    </row>
    <row r="194" spans="1:22">
      <c r="A194" s="7" t="s">
        <v>192</v>
      </c>
      <c r="B194" s="4" t="s">
        <v>41</v>
      </c>
      <c r="C194" s="4">
        <v>60</v>
      </c>
      <c r="D194" s="9" t="s">
        <v>42</v>
      </c>
      <c r="E194" s="4" t="s">
        <v>29</v>
      </c>
      <c r="F194" s="4" t="s">
        <v>29</v>
      </c>
      <c r="G194" s="4" t="s">
        <v>29</v>
      </c>
      <c r="H194" s="4">
        <v>120</v>
      </c>
      <c r="I194" s="4">
        <v>23.7</v>
      </c>
      <c r="J194" s="4">
        <v>24.44</v>
      </c>
      <c r="K194" s="4">
        <v>1.3</v>
      </c>
      <c r="L194" s="4">
        <v>59</v>
      </c>
      <c r="M194" s="4">
        <f t="shared" si="6"/>
        <v>203.389830508475</v>
      </c>
      <c r="N194" s="4">
        <f t="shared" si="7"/>
        <v>4.90998363338789</v>
      </c>
      <c r="O194" s="4">
        <f t="shared" si="8"/>
        <v>92.3076923076923</v>
      </c>
      <c r="P194" s="4">
        <v>22</v>
      </c>
      <c r="Q194" s="4">
        <v>1.85</v>
      </c>
      <c r="R194" s="4">
        <v>4.61</v>
      </c>
      <c r="S194" s="4">
        <v>20.61</v>
      </c>
      <c r="T194" s="4">
        <v>209</v>
      </c>
      <c r="U194" s="4">
        <v>6</v>
      </c>
      <c r="V194" s="4">
        <v>1</v>
      </c>
    </row>
    <row r="195" spans="1:22">
      <c r="A195" s="7" t="s">
        <v>193</v>
      </c>
      <c r="B195" s="4" t="s">
        <v>41</v>
      </c>
      <c r="C195" s="4">
        <v>61</v>
      </c>
      <c r="D195" s="9" t="s">
        <v>42</v>
      </c>
      <c r="E195" s="4" t="s">
        <v>24</v>
      </c>
      <c r="F195" s="4" t="s">
        <v>25</v>
      </c>
      <c r="G195" s="4" t="s">
        <v>25</v>
      </c>
      <c r="H195" s="4">
        <v>1.51</v>
      </c>
      <c r="I195" s="4">
        <v>7.92</v>
      </c>
      <c r="J195" s="4">
        <v>35.68</v>
      </c>
      <c r="K195" s="4">
        <v>1.5</v>
      </c>
      <c r="L195" s="4"/>
      <c r="M195" s="4" t="e">
        <f t="shared" ref="M195:M258" si="9">100*H195/L195</f>
        <v>#DIV/0!</v>
      </c>
      <c r="N195" s="4">
        <f t="shared" ref="N195:N258" si="10">H195/J195</f>
        <v>0.0423206278026906</v>
      </c>
      <c r="O195" s="4">
        <f t="shared" ref="O195:O258" si="11">H195/K195</f>
        <v>1.00666666666667</v>
      </c>
      <c r="P195" s="4">
        <v>13.7</v>
      </c>
      <c r="Q195" s="4">
        <v>4.32</v>
      </c>
      <c r="R195" s="4">
        <v>2.32</v>
      </c>
      <c r="S195" s="4">
        <v>9.27</v>
      </c>
      <c r="T195" s="4">
        <v>329</v>
      </c>
      <c r="U195" s="4">
        <v>27</v>
      </c>
      <c r="V195" s="4">
        <v>1</v>
      </c>
    </row>
    <row r="196" spans="1:22">
      <c r="A196" s="7" t="s">
        <v>194</v>
      </c>
      <c r="B196" s="4" t="s">
        <v>41</v>
      </c>
      <c r="C196" s="4">
        <v>80</v>
      </c>
      <c r="D196" s="9" t="s">
        <v>42</v>
      </c>
      <c r="E196" s="4" t="s">
        <v>29</v>
      </c>
      <c r="F196" s="4" t="s">
        <v>29</v>
      </c>
      <c r="G196" s="4" t="s">
        <v>29</v>
      </c>
      <c r="H196" s="4">
        <v>8.34</v>
      </c>
      <c r="I196" s="4">
        <v>29.95</v>
      </c>
      <c r="J196" s="4">
        <v>12.03</v>
      </c>
      <c r="K196" s="4">
        <v>3.28</v>
      </c>
      <c r="L196" s="4">
        <v>47</v>
      </c>
      <c r="M196" s="4">
        <f t="shared" si="9"/>
        <v>17.7446808510638</v>
      </c>
      <c r="N196" s="4">
        <f t="shared" si="10"/>
        <v>0.693266832917706</v>
      </c>
      <c r="O196" s="4">
        <f t="shared" si="11"/>
        <v>2.54268292682927</v>
      </c>
      <c r="P196" s="4">
        <v>18.8</v>
      </c>
      <c r="Q196" s="4">
        <v>2.14</v>
      </c>
      <c r="R196" s="4">
        <v>4.96</v>
      </c>
      <c r="S196" s="4">
        <v>17.59</v>
      </c>
      <c r="T196" s="4">
        <v>15</v>
      </c>
      <c r="U196" s="4">
        <v>46</v>
      </c>
      <c r="V196" s="4">
        <v>1</v>
      </c>
    </row>
    <row r="197" spans="1:22">
      <c r="A197" s="7" t="s">
        <v>195</v>
      </c>
      <c r="B197" s="4" t="s">
        <v>41</v>
      </c>
      <c r="C197" s="4">
        <v>72</v>
      </c>
      <c r="D197" s="9" t="s">
        <v>42</v>
      </c>
      <c r="E197" s="4" t="s">
        <v>24</v>
      </c>
      <c r="F197" s="4" t="s">
        <v>25</v>
      </c>
      <c r="G197" s="4" t="s">
        <v>25</v>
      </c>
      <c r="H197" s="4">
        <v>3.11</v>
      </c>
      <c r="I197" s="4">
        <v>36.07</v>
      </c>
      <c r="J197" s="4">
        <v>7.26</v>
      </c>
      <c r="K197" s="4">
        <v>1.35</v>
      </c>
      <c r="L197" s="4"/>
      <c r="M197" s="4" t="e">
        <f t="shared" si="9"/>
        <v>#DIV/0!</v>
      </c>
      <c r="N197" s="4">
        <f t="shared" si="10"/>
        <v>0.428374655647383</v>
      </c>
      <c r="O197" s="4">
        <f t="shared" si="11"/>
        <v>2.3037037037037</v>
      </c>
      <c r="P197" s="4">
        <v>10.9</v>
      </c>
      <c r="Q197" s="4">
        <v>5.67</v>
      </c>
      <c r="R197" s="4">
        <v>1.6</v>
      </c>
      <c r="S197" s="4">
        <v>3.9</v>
      </c>
      <c r="T197" s="4">
        <v>126</v>
      </c>
      <c r="U197" s="4">
        <v>34</v>
      </c>
      <c r="V197" s="4">
        <v>1</v>
      </c>
    </row>
    <row r="198" ht="13.9" spans="1:22">
      <c r="A198" s="7" t="s">
        <v>196</v>
      </c>
      <c r="B198" s="4" t="s">
        <v>41</v>
      </c>
      <c r="C198" s="4">
        <v>69</v>
      </c>
      <c r="D198" s="9" t="s">
        <v>61</v>
      </c>
      <c r="E198" s="4" t="s">
        <v>29</v>
      </c>
      <c r="F198" s="4" t="s">
        <v>29</v>
      </c>
      <c r="G198" s="4" t="s">
        <v>29</v>
      </c>
      <c r="H198" s="4">
        <v>25.5</v>
      </c>
      <c r="I198" s="4">
        <v>29.15</v>
      </c>
      <c r="J198" s="4">
        <v>39.84</v>
      </c>
      <c r="K198" s="4">
        <v>0.93</v>
      </c>
      <c r="L198" s="4">
        <v>54</v>
      </c>
      <c r="M198" s="4">
        <f t="shared" si="9"/>
        <v>47.2222222222222</v>
      </c>
      <c r="N198" s="4">
        <f t="shared" si="10"/>
        <v>0.640060240963855</v>
      </c>
      <c r="O198" s="4">
        <f t="shared" si="11"/>
        <v>27.4193548387097</v>
      </c>
      <c r="P198" s="4">
        <v>17.9</v>
      </c>
      <c r="Q198" s="4">
        <v>3.67</v>
      </c>
      <c r="R198" s="4">
        <v>12.22</v>
      </c>
      <c r="S198" s="4">
        <v>64.72</v>
      </c>
      <c r="T198" s="4">
        <v>51</v>
      </c>
      <c r="U198" s="4">
        <v>27</v>
      </c>
      <c r="V198" s="4">
        <v>1</v>
      </c>
    </row>
    <row r="199" ht="13.9" spans="1:22">
      <c r="A199" s="7" t="s">
        <v>197</v>
      </c>
      <c r="B199" s="4" t="s">
        <v>41</v>
      </c>
      <c r="C199" s="4">
        <v>55</v>
      </c>
      <c r="D199" s="9" t="s">
        <v>61</v>
      </c>
      <c r="E199" s="4" t="s">
        <v>24</v>
      </c>
      <c r="F199" s="4" t="s">
        <v>25</v>
      </c>
      <c r="G199" s="4" t="s">
        <v>25</v>
      </c>
      <c r="H199" s="4">
        <v>2.77</v>
      </c>
      <c r="I199" s="4">
        <v>12.18</v>
      </c>
      <c r="J199" s="4">
        <v>7.12</v>
      </c>
      <c r="K199" s="4">
        <v>0.75</v>
      </c>
      <c r="L199" s="4">
        <v>92</v>
      </c>
      <c r="M199" s="4">
        <f t="shared" si="9"/>
        <v>3.01086956521739</v>
      </c>
      <c r="N199" s="4">
        <f t="shared" si="10"/>
        <v>0.389044943820225</v>
      </c>
      <c r="O199" s="4">
        <f t="shared" si="11"/>
        <v>3.69333333333333</v>
      </c>
      <c r="P199" s="4">
        <v>15.1</v>
      </c>
      <c r="Q199" s="4">
        <v>3.87</v>
      </c>
      <c r="R199" s="4">
        <v>0.6</v>
      </c>
      <c r="S199" s="4">
        <v>2.92</v>
      </c>
      <c r="T199" s="4">
        <v>224</v>
      </c>
      <c r="U199" s="4">
        <v>13</v>
      </c>
      <c r="V199" s="4">
        <v>0</v>
      </c>
    </row>
    <row r="200" spans="1:22">
      <c r="A200" s="1" t="s">
        <v>198</v>
      </c>
      <c r="B200" s="2" t="s">
        <v>41</v>
      </c>
      <c r="C200" s="2">
        <v>64</v>
      </c>
      <c r="D200" s="9" t="s">
        <v>28</v>
      </c>
      <c r="E200" s="4" t="s">
        <v>29</v>
      </c>
      <c r="F200" s="4" t="s">
        <v>29</v>
      </c>
      <c r="G200" s="4" t="s">
        <v>29</v>
      </c>
      <c r="H200" s="2">
        <v>37.22</v>
      </c>
      <c r="I200" s="2">
        <v>33.28</v>
      </c>
      <c r="J200" s="2">
        <v>17.49</v>
      </c>
      <c r="K200" s="2">
        <v>0.86</v>
      </c>
      <c r="L200" s="2">
        <v>37</v>
      </c>
      <c r="M200" s="4">
        <f t="shared" si="9"/>
        <v>100.594594594595</v>
      </c>
      <c r="N200" s="4">
        <f t="shared" si="10"/>
        <v>2.12807318467696</v>
      </c>
      <c r="O200" s="4">
        <f t="shared" si="11"/>
        <v>43.2790697674419</v>
      </c>
      <c r="P200" s="2">
        <v>24.7</v>
      </c>
      <c r="Q200" s="2">
        <v>1.53</v>
      </c>
      <c r="R200" s="2">
        <v>15.18</v>
      </c>
      <c r="S200" s="2">
        <v>58.93</v>
      </c>
      <c r="T200" s="2">
        <v>40</v>
      </c>
      <c r="U200" s="4">
        <v>32</v>
      </c>
      <c r="V200" s="4">
        <v>1</v>
      </c>
    </row>
    <row r="201" ht="13.9" spans="1:22">
      <c r="A201" s="1" t="s">
        <v>199</v>
      </c>
      <c r="B201" s="2" t="s">
        <v>41</v>
      </c>
      <c r="C201" s="2">
        <v>74</v>
      </c>
      <c r="D201" s="9" t="s">
        <v>61</v>
      </c>
      <c r="E201" s="4" t="s">
        <v>24</v>
      </c>
      <c r="F201" s="4" t="s">
        <v>25</v>
      </c>
      <c r="G201" s="4" t="s">
        <v>25</v>
      </c>
      <c r="H201" s="2">
        <v>23.1</v>
      </c>
      <c r="I201" s="2">
        <v>14.87</v>
      </c>
      <c r="J201" s="2">
        <v>7.98</v>
      </c>
      <c r="K201" s="2">
        <v>1.65</v>
      </c>
      <c r="L201" s="2">
        <v>85</v>
      </c>
      <c r="M201" s="4">
        <f t="shared" si="9"/>
        <v>27.1764705882353</v>
      </c>
      <c r="N201" s="4">
        <f t="shared" si="10"/>
        <v>2.89473684210526</v>
      </c>
      <c r="O201" s="4">
        <f t="shared" si="11"/>
        <v>14</v>
      </c>
      <c r="P201" s="2">
        <v>14.1</v>
      </c>
      <c r="Q201" s="2">
        <v>3.51</v>
      </c>
      <c r="R201" s="2">
        <v>6.29</v>
      </c>
      <c r="S201" s="2">
        <v>25.6</v>
      </c>
      <c r="T201" s="2">
        <v>98</v>
      </c>
      <c r="U201" s="4">
        <v>22</v>
      </c>
      <c r="V201" s="4">
        <v>0</v>
      </c>
    </row>
    <row r="202" spans="1:22">
      <c r="A202" s="7" t="s">
        <v>200</v>
      </c>
      <c r="B202" s="4" t="s">
        <v>41</v>
      </c>
      <c r="C202" s="4">
        <v>78</v>
      </c>
      <c r="D202" s="9" t="s">
        <v>42</v>
      </c>
      <c r="E202" s="4" t="s">
        <v>29</v>
      </c>
      <c r="F202" s="4" t="s">
        <v>29</v>
      </c>
      <c r="G202" s="4" t="s">
        <v>29</v>
      </c>
      <c r="H202" s="4">
        <v>116</v>
      </c>
      <c r="I202" s="4">
        <v>25.67</v>
      </c>
      <c r="J202" s="4">
        <v>13.34</v>
      </c>
      <c r="K202" s="4">
        <v>16.96</v>
      </c>
      <c r="L202" s="4">
        <v>79</v>
      </c>
      <c r="M202" s="4">
        <f t="shared" si="9"/>
        <v>146.835443037975</v>
      </c>
      <c r="N202" s="4">
        <f t="shared" si="10"/>
        <v>8.69565217391304</v>
      </c>
      <c r="O202" s="4">
        <f t="shared" si="11"/>
        <v>6.83962264150943</v>
      </c>
      <c r="P202" s="4">
        <v>19.9</v>
      </c>
      <c r="Q202" s="4">
        <v>1.88</v>
      </c>
      <c r="R202" s="4">
        <v>20</v>
      </c>
      <c r="S202" s="4">
        <v>150</v>
      </c>
      <c r="T202" s="4">
        <v>47</v>
      </c>
      <c r="U202" s="4">
        <v>14</v>
      </c>
      <c r="V202" s="4">
        <v>1</v>
      </c>
    </row>
    <row r="203" spans="1:22">
      <c r="A203" s="7" t="s">
        <v>200</v>
      </c>
      <c r="B203" s="4" t="s">
        <v>41</v>
      </c>
      <c r="C203" s="4">
        <v>78</v>
      </c>
      <c r="D203" s="9" t="s">
        <v>42</v>
      </c>
      <c r="E203" s="4" t="s">
        <v>29</v>
      </c>
      <c r="F203" s="4" t="s">
        <v>29</v>
      </c>
      <c r="G203" s="4" t="s">
        <v>29</v>
      </c>
      <c r="H203" s="4">
        <v>48.53</v>
      </c>
      <c r="I203" s="4">
        <v>22.69</v>
      </c>
      <c r="J203" s="4">
        <v>40.57</v>
      </c>
      <c r="K203" s="4">
        <v>10.11</v>
      </c>
      <c r="L203" s="4">
        <v>103</v>
      </c>
      <c r="M203" s="4">
        <f t="shared" si="9"/>
        <v>47.1165048543689</v>
      </c>
      <c r="N203" s="4">
        <f t="shared" si="10"/>
        <v>1.19620409169337</v>
      </c>
      <c r="O203" s="4">
        <f t="shared" si="11"/>
        <v>4.8001978239367</v>
      </c>
      <c r="P203" s="4">
        <v>17</v>
      </c>
      <c r="Q203" s="4">
        <v>2.18</v>
      </c>
      <c r="R203" s="4">
        <v>20</v>
      </c>
      <c r="S203" s="4">
        <v>150</v>
      </c>
      <c r="T203" s="4">
        <v>37</v>
      </c>
      <c r="U203" s="4">
        <v>14</v>
      </c>
      <c r="V203" s="4">
        <v>1</v>
      </c>
    </row>
    <row r="204" spans="1:22">
      <c r="A204" s="7" t="s">
        <v>201</v>
      </c>
      <c r="B204" s="4" t="s">
        <v>45</v>
      </c>
      <c r="C204" s="4">
        <v>89</v>
      </c>
      <c r="D204" s="9" t="s">
        <v>42</v>
      </c>
      <c r="E204" s="4" t="s">
        <v>24</v>
      </c>
      <c r="F204" s="4" t="s">
        <v>25</v>
      </c>
      <c r="G204" s="4" t="s">
        <v>25</v>
      </c>
      <c r="H204" s="4">
        <v>11.43</v>
      </c>
      <c r="I204" s="4">
        <v>10.88</v>
      </c>
      <c r="J204" s="4">
        <v>20.02</v>
      </c>
      <c r="K204" s="4">
        <v>4.99</v>
      </c>
      <c r="L204" s="4"/>
      <c r="M204" s="4" t="e">
        <f t="shared" si="9"/>
        <v>#DIV/0!</v>
      </c>
      <c r="N204" s="4">
        <f t="shared" si="10"/>
        <v>0.570929070929071</v>
      </c>
      <c r="O204" s="4">
        <f t="shared" si="11"/>
        <v>2.29058116232465</v>
      </c>
      <c r="P204" s="4">
        <v>10.5</v>
      </c>
      <c r="Q204" s="4">
        <v>5.32</v>
      </c>
      <c r="R204" s="4">
        <v>20</v>
      </c>
      <c r="S204" s="4">
        <v>72.48</v>
      </c>
      <c r="T204" s="4">
        <v>256</v>
      </c>
      <c r="U204" s="4">
        <v>23</v>
      </c>
      <c r="V204" s="4">
        <v>0</v>
      </c>
    </row>
    <row r="205" ht="13.9" spans="1:22">
      <c r="A205" s="7" t="s">
        <v>202</v>
      </c>
      <c r="B205" s="4" t="s">
        <v>45</v>
      </c>
      <c r="C205" s="4">
        <v>69</v>
      </c>
      <c r="D205" s="9" t="s">
        <v>61</v>
      </c>
      <c r="E205" s="4" t="s">
        <v>24</v>
      </c>
      <c r="F205" s="4" t="s">
        <v>31</v>
      </c>
      <c r="G205" s="2" t="s">
        <v>32</v>
      </c>
      <c r="H205" s="4">
        <v>8.98</v>
      </c>
      <c r="I205" s="4">
        <v>36.22</v>
      </c>
      <c r="J205" s="4">
        <v>30.8</v>
      </c>
      <c r="K205" s="4">
        <v>0.53</v>
      </c>
      <c r="L205" s="4">
        <v>47</v>
      </c>
      <c r="M205" s="4">
        <f t="shared" si="9"/>
        <v>19.1063829787234</v>
      </c>
      <c r="N205" s="4">
        <f t="shared" si="10"/>
        <v>0.291558441558442</v>
      </c>
      <c r="O205" s="4">
        <f t="shared" si="11"/>
        <v>16.9433962264151</v>
      </c>
      <c r="P205" s="4">
        <v>17.5</v>
      </c>
      <c r="Q205" s="4">
        <v>5.3</v>
      </c>
      <c r="R205" s="4">
        <v>1.95</v>
      </c>
      <c r="S205" s="4">
        <v>4.55</v>
      </c>
      <c r="T205" s="4">
        <v>140</v>
      </c>
      <c r="U205" s="4">
        <v>12</v>
      </c>
      <c r="V205" s="4">
        <v>1</v>
      </c>
    </row>
    <row r="206" spans="1:22">
      <c r="A206" s="1" t="s">
        <v>203</v>
      </c>
      <c r="B206" s="2" t="s">
        <v>45</v>
      </c>
      <c r="C206" s="2">
        <v>64</v>
      </c>
      <c r="D206" s="9" t="s">
        <v>42</v>
      </c>
      <c r="E206" s="4" t="s">
        <v>29</v>
      </c>
      <c r="F206" s="4" t="s">
        <v>29</v>
      </c>
      <c r="G206" s="4" t="s">
        <v>29</v>
      </c>
      <c r="H206" s="2">
        <v>35.53</v>
      </c>
      <c r="I206" s="2">
        <v>25.51</v>
      </c>
      <c r="J206" s="2">
        <v>8.15</v>
      </c>
      <c r="K206" s="2">
        <v>3.49</v>
      </c>
      <c r="L206" s="2">
        <v>52</v>
      </c>
      <c r="M206" s="4">
        <f t="shared" si="9"/>
        <v>68.3269230769231</v>
      </c>
      <c r="N206" s="4">
        <f t="shared" si="10"/>
        <v>4.35950920245399</v>
      </c>
      <c r="O206" s="4">
        <f t="shared" si="11"/>
        <v>10.1805157593123</v>
      </c>
      <c r="P206" s="2">
        <v>19.7</v>
      </c>
      <c r="Q206" s="2">
        <v>4.41</v>
      </c>
      <c r="R206" s="2">
        <v>9.75</v>
      </c>
      <c r="S206" s="2">
        <v>38.74</v>
      </c>
      <c r="T206" s="2">
        <v>48</v>
      </c>
      <c r="U206" s="4">
        <v>30</v>
      </c>
      <c r="V206" s="4">
        <v>1</v>
      </c>
    </row>
    <row r="207" spans="1:22">
      <c r="A207" s="7" t="s">
        <v>204</v>
      </c>
      <c r="B207" s="4" t="s">
        <v>45</v>
      </c>
      <c r="C207" s="4">
        <v>75</v>
      </c>
      <c r="D207" s="9" t="s">
        <v>42</v>
      </c>
      <c r="E207" s="4" t="s">
        <v>29</v>
      </c>
      <c r="F207" s="4" t="s">
        <v>29</v>
      </c>
      <c r="G207" s="4" t="s">
        <v>29</v>
      </c>
      <c r="H207" s="4">
        <v>13.45</v>
      </c>
      <c r="I207" s="4">
        <v>26.14</v>
      </c>
      <c r="J207" s="4">
        <v>26.83</v>
      </c>
      <c r="K207" s="4">
        <v>1.26</v>
      </c>
      <c r="L207" s="4">
        <v>70</v>
      </c>
      <c r="M207" s="4">
        <f t="shared" si="9"/>
        <v>19.2142857142857</v>
      </c>
      <c r="N207" s="4">
        <f t="shared" si="10"/>
        <v>0.501304509877003</v>
      </c>
      <c r="O207" s="4">
        <f t="shared" si="11"/>
        <v>10.6746031746032</v>
      </c>
      <c r="P207" s="4">
        <v>25</v>
      </c>
      <c r="Q207" s="4">
        <v>5.82</v>
      </c>
      <c r="R207" s="4">
        <v>3.04</v>
      </c>
      <c r="S207" s="4">
        <v>7.27</v>
      </c>
      <c r="T207" s="4">
        <v>264</v>
      </c>
      <c r="U207" s="4">
        <v>24</v>
      </c>
      <c r="V207" s="4">
        <v>0</v>
      </c>
    </row>
    <row r="208" spans="1:22">
      <c r="A208" s="7" t="s">
        <v>205</v>
      </c>
      <c r="B208" s="4" t="s">
        <v>41</v>
      </c>
      <c r="C208" s="4">
        <v>54</v>
      </c>
      <c r="D208" s="9" t="s">
        <v>42</v>
      </c>
      <c r="E208" s="4" t="s">
        <v>24</v>
      </c>
      <c r="F208" s="4" t="s">
        <v>25</v>
      </c>
      <c r="G208" s="4" t="s">
        <v>25</v>
      </c>
      <c r="H208" s="4">
        <v>5.2</v>
      </c>
      <c r="I208" s="4">
        <v>16.4</v>
      </c>
      <c r="J208" s="4">
        <v>16.13</v>
      </c>
      <c r="K208" s="4">
        <v>1.95</v>
      </c>
      <c r="L208" s="4">
        <v>94</v>
      </c>
      <c r="M208" s="4">
        <f t="shared" si="9"/>
        <v>5.53191489361702</v>
      </c>
      <c r="N208" s="4">
        <f t="shared" si="10"/>
        <v>0.32238065716057</v>
      </c>
      <c r="O208" s="4">
        <f t="shared" si="11"/>
        <v>2.66666666666667</v>
      </c>
      <c r="P208" s="4">
        <v>14.1</v>
      </c>
      <c r="Q208" s="4">
        <v>6.4</v>
      </c>
      <c r="R208" s="4">
        <v>1.62</v>
      </c>
      <c r="S208" s="4">
        <v>5.85</v>
      </c>
      <c r="T208" s="4">
        <v>193</v>
      </c>
      <c r="U208" s="4">
        <v>27</v>
      </c>
      <c r="V208" s="4">
        <v>0</v>
      </c>
    </row>
    <row r="209" spans="1:22">
      <c r="A209" s="7" t="s">
        <v>206</v>
      </c>
      <c r="B209" s="4" t="s">
        <v>41</v>
      </c>
      <c r="C209" s="4">
        <v>55</v>
      </c>
      <c r="D209" s="9" t="s">
        <v>28</v>
      </c>
      <c r="E209" s="4" t="s">
        <v>29</v>
      </c>
      <c r="F209" s="4" t="s">
        <v>29</v>
      </c>
      <c r="G209" s="4" t="s">
        <v>29</v>
      </c>
      <c r="H209" s="4">
        <v>14.52</v>
      </c>
      <c r="I209" s="4">
        <v>33.15</v>
      </c>
      <c r="J209" s="4">
        <v>35.2</v>
      </c>
      <c r="K209" s="4">
        <v>12.84</v>
      </c>
      <c r="L209" s="4"/>
      <c r="M209" s="4" t="e">
        <f t="shared" si="9"/>
        <v>#DIV/0!</v>
      </c>
      <c r="N209" s="4">
        <f t="shared" si="10"/>
        <v>0.4125</v>
      </c>
      <c r="O209" s="4">
        <f t="shared" si="11"/>
        <v>1.13084112149533</v>
      </c>
      <c r="P209" s="4">
        <v>140.7</v>
      </c>
      <c r="Q209" s="4">
        <v>0.46</v>
      </c>
      <c r="R209" s="4">
        <v>6.72</v>
      </c>
      <c r="S209" s="4">
        <v>80</v>
      </c>
      <c r="T209" s="4">
        <v>63</v>
      </c>
      <c r="U209" s="4">
        <v>6</v>
      </c>
      <c r="V209" s="4">
        <v>1</v>
      </c>
    </row>
    <row r="210" spans="1:22">
      <c r="A210" s="7" t="s">
        <v>207</v>
      </c>
      <c r="B210" s="4" t="s">
        <v>41</v>
      </c>
      <c r="C210" s="4">
        <v>43</v>
      </c>
      <c r="D210" s="9" t="s">
        <v>42</v>
      </c>
      <c r="E210" s="4" t="s">
        <v>24</v>
      </c>
      <c r="F210" s="4" t="s">
        <v>25</v>
      </c>
      <c r="G210" s="4" t="s">
        <v>25</v>
      </c>
      <c r="H210" s="4">
        <v>18.94</v>
      </c>
      <c r="I210" s="4">
        <v>9.54</v>
      </c>
      <c r="J210" s="4">
        <v>12.54</v>
      </c>
      <c r="K210" s="4">
        <v>1.95</v>
      </c>
      <c r="L210" s="4">
        <v>103</v>
      </c>
      <c r="M210" s="4">
        <f t="shared" si="9"/>
        <v>18.3883495145631</v>
      </c>
      <c r="N210" s="4">
        <f t="shared" si="10"/>
        <v>1.5103668261563</v>
      </c>
      <c r="O210" s="4">
        <f t="shared" si="11"/>
        <v>9.71282051282051</v>
      </c>
      <c r="P210" s="4">
        <v>14</v>
      </c>
      <c r="Q210" s="4">
        <v>6.51</v>
      </c>
      <c r="R210" s="4">
        <v>9.96</v>
      </c>
      <c r="S210" s="4">
        <v>35.87</v>
      </c>
      <c r="T210" s="4">
        <v>338</v>
      </c>
      <c r="U210" s="4">
        <v>9</v>
      </c>
      <c r="V210" s="4">
        <v>0</v>
      </c>
    </row>
    <row r="211" spans="1:22">
      <c r="A211" s="7" t="s">
        <v>208</v>
      </c>
      <c r="B211" s="4" t="s">
        <v>45</v>
      </c>
      <c r="C211" s="4">
        <v>50</v>
      </c>
      <c r="D211" s="9" t="s">
        <v>42</v>
      </c>
      <c r="E211" s="4" t="s">
        <v>24</v>
      </c>
      <c r="F211" s="4" t="s">
        <v>25</v>
      </c>
      <c r="G211" s="4" t="s">
        <v>25</v>
      </c>
      <c r="H211" s="4">
        <v>20</v>
      </c>
      <c r="I211" s="4">
        <v>15.4</v>
      </c>
      <c r="J211" s="4">
        <v>51.21</v>
      </c>
      <c r="K211" s="4">
        <v>1.85</v>
      </c>
      <c r="L211" s="4">
        <v>91</v>
      </c>
      <c r="M211" s="4">
        <f t="shared" si="9"/>
        <v>21.978021978022</v>
      </c>
      <c r="N211" s="4">
        <f t="shared" si="10"/>
        <v>0.390548720952939</v>
      </c>
      <c r="O211" s="4">
        <f t="shared" si="11"/>
        <v>10.8108108108108</v>
      </c>
      <c r="P211" s="4">
        <v>13.9</v>
      </c>
      <c r="Q211" s="4">
        <v>3.11</v>
      </c>
      <c r="R211" s="4">
        <v>17.77</v>
      </c>
      <c r="S211" s="4">
        <v>71.57</v>
      </c>
      <c r="T211" s="4">
        <v>109</v>
      </c>
      <c r="U211" s="4">
        <v>17</v>
      </c>
      <c r="V211" s="4">
        <v>0</v>
      </c>
    </row>
    <row r="212" spans="1:22">
      <c r="A212" s="7" t="s">
        <v>209</v>
      </c>
      <c r="B212" s="4" t="s">
        <v>41</v>
      </c>
      <c r="C212" s="4">
        <v>86</v>
      </c>
      <c r="D212" s="9" t="s">
        <v>42</v>
      </c>
      <c r="E212" s="4" t="s">
        <v>29</v>
      </c>
      <c r="F212" s="4" t="s">
        <v>29</v>
      </c>
      <c r="G212" s="4" t="s">
        <v>29</v>
      </c>
      <c r="H212" s="4">
        <v>9.16</v>
      </c>
      <c r="I212" s="4">
        <v>36.89</v>
      </c>
      <c r="J212" s="4">
        <v>100</v>
      </c>
      <c r="K212" s="4">
        <v>1.74</v>
      </c>
      <c r="L212" s="4">
        <v>19</v>
      </c>
      <c r="M212" s="4">
        <f t="shared" si="9"/>
        <v>48.2105263157895</v>
      </c>
      <c r="N212" s="4">
        <f t="shared" si="10"/>
        <v>0.0916</v>
      </c>
      <c r="O212" s="4">
        <f t="shared" si="11"/>
        <v>5.26436781609195</v>
      </c>
      <c r="P212" s="4">
        <v>22.2</v>
      </c>
      <c r="Q212" s="4">
        <v>2.05</v>
      </c>
      <c r="R212" s="4">
        <v>15.18</v>
      </c>
      <c r="S212" s="4">
        <v>59.66</v>
      </c>
      <c r="T212" s="4">
        <v>5</v>
      </c>
      <c r="U212" s="4">
        <v>3</v>
      </c>
      <c r="V212" s="4">
        <v>1</v>
      </c>
    </row>
    <row r="213" spans="1:22">
      <c r="A213" s="7" t="s">
        <v>210</v>
      </c>
      <c r="B213" s="4" t="s">
        <v>45</v>
      </c>
      <c r="C213" s="4">
        <v>61</v>
      </c>
      <c r="D213" s="9" t="s">
        <v>42</v>
      </c>
      <c r="E213" s="4" t="s">
        <v>29</v>
      </c>
      <c r="F213" s="4" t="s">
        <v>29</v>
      </c>
      <c r="G213" s="4" t="s">
        <v>29</v>
      </c>
      <c r="H213" s="4">
        <v>9.29</v>
      </c>
      <c r="I213" s="4">
        <v>19.4</v>
      </c>
      <c r="J213" s="4">
        <v>7.51</v>
      </c>
      <c r="K213" s="4">
        <v>0.88</v>
      </c>
      <c r="L213" s="4"/>
      <c r="M213" s="4" t="e">
        <f t="shared" si="9"/>
        <v>#DIV/0!</v>
      </c>
      <c r="N213" s="4">
        <f t="shared" si="10"/>
        <v>1.237017310253</v>
      </c>
      <c r="O213" s="4">
        <f t="shared" si="11"/>
        <v>10.5568181818182</v>
      </c>
      <c r="P213" s="4">
        <v>14.4</v>
      </c>
      <c r="Q213" s="4">
        <v>3.46</v>
      </c>
      <c r="R213" s="4">
        <v>6.61</v>
      </c>
      <c r="S213" s="4"/>
      <c r="T213" s="4">
        <v>39</v>
      </c>
      <c r="U213" s="4">
        <v>17</v>
      </c>
      <c r="V213" s="4">
        <v>0</v>
      </c>
    </row>
    <row r="214" spans="1:22">
      <c r="A214" s="7" t="s">
        <v>211</v>
      </c>
      <c r="B214" s="4" t="s">
        <v>41</v>
      </c>
      <c r="C214" s="4">
        <v>41</v>
      </c>
      <c r="D214" s="9" t="s">
        <v>28</v>
      </c>
      <c r="E214" s="4" t="s">
        <v>24</v>
      </c>
      <c r="F214" s="4" t="s">
        <v>25</v>
      </c>
      <c r="G214" s="4" t="s">
        <v>25</v>
      </c>
      <c r="H214" s="4">
        <v>1.86</v>
      </c>
      <c r="I214" s="4">
        <v>6.59</v>
      </c>
      <c r="J214" s="4">
        <v>9.89</v>
      </c>
      <c r="K214" s="4">
        <v>0.52</v>
      </c>
      <c r="L214" s="4"/>
      <c r="M214" s="4" t="e">
        <f t="shared" si="9"/>
        <v>#DIV/0!</v>
      </c>
      <c r="N214" s="4">
        <f t="shared" si="10"/>
        <v>0.188068756319515</v>
      </c>
      <c r="O214" s="4">
        <f t="shared" si="11"/>
        <v>3.57692307692308</v>
      </c>
      <c r="P214" s="4">
        <v>14.3</v>
      </c>
      <c r="Q214" s="4">
        <v>5.18</v>
      </c>
      <c r="R214" s="4">
        <v>0.88</v>
      </c>
      <c r="S214" s="4">
        <v>2.75</v>
      </c>
      <c r="T214" s="4">
        <v>175</v>
      </c>
      <c r="U214" s="4">
        <v>11</v>
      </c>
      <c r="V214" s="4">
        <v>0</v>
      </c>
    </row>
    <row r="215" spans="1:22">
      <c r="A215" s="7" t="s">
        <v>212</v>
      </c>
      <c r="B215" s="4" t="s">
        <v>45</v>
      </c>
      <c r="C215" s="4">
        <v>72</v>
      </c>
      <c r="D215" s="9" t="s">
        <v>42</v>
      </c>
      <c r="E215" s="4" t="s">
        <v>24</v>
      </c>
      <c r="F215" s="4" t="s">
        <v>31</v>
      </c>
      <c r="G215" s="2" t="s">
        <v>32</v>
      </c>
      <c r="H215" s="4">
        <v>30.91</v>
      </c>
      <c r="I215" s="4">
        <v>40.3</v>
      </c>
      <c r="J215" s="4">
        <v>14.81</v>
      </c>
      <c r="K215" s="4">
        <v>4.84</v>
      </c>
      <c r="L215" s="4"/>
      <c r="M215" s="4" t="e">
        <f t="shared" si="9"/>
        <v>#DIV/0!</v>
      </c>
      <c r="N215" s="4">
        <f t="shared" si="10"/>
        <v>2.08710330857529</v>
      </c>
      <c r="O215" s="4">
        <f t="shared" si="11"/>
        <v>6.38636363636364</v>
      </c>
      <c r="P215" s="4">
        <v>14.5</v>
      </c>
      <c r="Q215" s="4">
        <v>2.32</v>
      </c>
      <c r="R215" s="4">
        <v>20</v>
      </c>
      <c r="S215" s="4">
        <v>73.44</v>
      </c>
      <c r="T215" s="4">
        <v>54</v>
      </c>
      <c r="U215" s="4">
        <v>14</v>
      </c>
      <c r="V215" s="4">
        <v>1</v>
      </c>
    </row>
    <row r="216" spans="1:22">
      <c r="A216" s="7" t="s">
        <v>213</v>
      </c>
      <c r="B216" s="4" t="s">
        <v>45</v>
      </c>
      <c r="C216" s="4">
        <v>61</v>
      </c>
      <c r="D216" s="9" t="s">
        <v>42</v>
      </c>
      <c r="E216" s="4" t="s">
        <v>24</v>
      </c>
      <c r="F216" s="4" t="s">
        <v>31</v>
      </c>
      <c r="G216" s="2" t="s">
        <v>33</v>
      </c>
      <c r="H216" s="4">
        <v>5.52</v>
      </c>
      <c r="I216" s="4">
        <v>17.3</v>
      </c>
      <c r="J216" s="4">
        <v>5.17</v>
      </c>
      <c r="K216" s="4">
        <v>0.8</v>
      </c>
      <c r="L216" s="4"/>
      <c r="M216" s="4" t="e">
        <f t="shared" si="9"/>
        <v>#DIV/0!</v>
      </c>
      <c r="N216" s="4">
        <f t="shared" si="10"/>
        <v>1.06769825918762</v>
      </c>
      <c r="O216" s="4">
        <f t="shared" si="11"/>
        <v>6.9</v>
      </c>
      <c r="P216" s="4">
        <v>14.9</v>
      </c>
      <c r="Q216" s="4">
        <v>1.69</v>
      </c>
      <c r="R216" s="4">
        <v>9</v>
      </c>
      <c r="S216" s="4">
        <v>25.17</v>
      </c>
      <c r="T216" s="4">
        <v>74</v>
      </c>
      <c r="U216" s="4">
        <v>19</v>
      </c>
      <c r="V216" s="4">
        <v>0</v>
      </c>
    </row>
    <row r="217" spans="1:22">
      <c r="A217" s="7" t="s">
        <v>214</v>
      </c>
      <c r="B217" s="4" t="s">
        <v>45</v>
      </c>
      <c r="C217" s="4">
        <v>60</v>
      </c>
      <c r="D217" s="9" t="s">
        <v>28</v>
      </c>
      <c r="E217" s="4" t="s">
        <v>24</v>
      </c>
      <c r="F217" s="4" t="s">
        <v>25</v>
      </c>
      <c r="G217" s="4" t="s">
        <v>25</v>
      </c>
      <c r="H217" s="4">
        <v>2.28</v>
      </c>
      <c r="I217" s="4">
        <v>19.38</v>
      </c>
      <c r="J217" s="4">
        <v>2.81</v>
      </c>
      <c r="K217" s="4">
        <v>1.42</v>
      </c>
      <c r="L217" s="4"/>
      <c r="M217" s="4" t="e">
        <f t="shared" si="9"/>
        <v>#DIV/0!</v>
      </c>
      <c r="N217" s="4">
        <f t="shared" si="10"/>
        <v>0.811387900355872</v>
      </c>
      <c r="O217" s="4">
        <f t="shared" si="11"/>
        <v>1.6056338028169</v>
      </c>
      <c r="P217" s="4">
        <v>10.6</v>
      </c>
      <c r="Q217" s="4">
        <v>6.16</v>
      </c>
      <c r="R217" s="4">
        <v>2.27</v>
      </c>
      <c r="S217" s="4">
        <v>5.33</v>
      </c>
      <c r="T217" s="4">
        <v>93</v>
      </c>
      <c r="U217" s="4">
        <v>28</v>
      </c>
      <c r="V217" s="4">
        <v>0</v>
      </c>
    </row>
    <row r="218" spans="1:22">
      <c r="A218" s="1" t="s">
        <v>215</v>
      </c>
      <c r="B218" s="2" t="s">
        <v>41</v>
      </c>
      <c r="C218" s="2">
        <v>66</v>
      </c>
      <c r="D218" s="9" t="s">
        <v>42</v>
      </c>
      <c r="E218" s="4" t="s">
        <v>24</v>
      </c>
      <c r="F218" s="4" t="s">
        <v>25</v>
      </c>
      <c r="G218" s="4" t="s">
        <v>25</v>
      </c>
      <c r="H218" s="2">
        <v>16.63</v>
      </c>
      <c r="I218" s="2">
        <v>16.5</v>
      </c>
      <c r="J218" s="2">
        <v>68.38</v>
      </c>
      <c r="K218" s="2">
        <v>4.55</v>
      </c>
      <c r="L218" s="2"/>
      <c r="M218" s="4" t="e">
        <f t="shared" si="9"/>
        <v>#DIV/0!</v>
      </c>
      <c r="N218" s="4">
        <f t="shared" si="10"/>
        <v>0.243199766013454</v>
      </c>
      <c r="O218" s="4">
        <f t="shared" si="11"/>
        <v>3.65494505494505</v>
      </c>
      <c r="P218" s="2">
        <v>10</v>
      </c>
      <c r="Q218" s="2">
        <v>2.15</v>
      </c>
      <c r="R218" s="2">
        <v>1.58</v>
      </c>
      <c r="S218" s="2"/>
      <c r="T218" s="2">
        <v>44</v>
      </c>
      <c r="U218" s="4">
        <v>43</v>
      </c>
      <c r="V218" s="4">
        <v>1</v>
      </c>
    </row>
    <row r="219" spans="1:22">
      <c r="A219" s="7" t="s">
        <v>216</v>
      </c>
      <c r="B219" s="4" t="s">
        <v>41</v>
      </c>
      <c r="C219" s="4">
        <v>23</v>
      </c>
      <c r="D219" s="9" t="s">
        <v>28</v>
      </c>
      <c r="E219" s="4" t="s">
        <v>29</v>
      </c>
      <c r="F219" s="4" t="s">
        <v>29</v>
      </c>
      <c r="G219" s="4" t="s">
        <v>29</v>
      </c>
      <c r="H219" s="4">
        <v>44.06</v>
      </c>
      <c r="I219" s="4">
        <v>14.8</v>
      </c>
      <c r="J219" s="4">
        <v>17.25</v>
      </c>
      <c r="K219" s="4">
        <v>0.74</v>
      </c>
      <c r="L219" s="4"/>
      <c r="M219" s="4" t="e">
        <f t="shared" si="9"/>
        <v>#DIV/0!</v>
      </c>
      <c r="N219" s="4">
        <f t="shared" si="10"/>
        <v>2.55420289855072</v>
      </c>
      <c r="O219" s="4">
        <f t="shared" si="11"/>
        <v>59.5405405405405</v>
      </c>
      <c r="P219" s="4">
        <v>14.6</v>
      </c>
      <c r="Q219" s="4">
        <v>2.24</v>
      </c>
      <c r="R219" s="4">
        <v>11.26</v>
      </c>
      <c r="S219" s="4"/>
      <c r="T219" s="4">
        <v>12</v>
      </c>
      <c r="U219" s="4">
        <v>22</v>
      </c>
      <c r="V219" s="4">
        <v>1</v>
      </c>
    </row>
    <row r="220" spans="1:22">
      <c r="A220" s="7" t="s">
        <v>216</v>
      </c>
      <c r="B220" s="4" t="s">
        <v>41</v>
      </c>
      <c r="C220" s="4">
        <v>23</v>
      </c>
      <c r="D220" s="9" t="s">
        <v>28</v>
      </c>
      <c r="E220" s="4" t="s">
        <v>24</v>
      </c>
      <c r="F220" s="4" t="s">
        <v>31</v>
      </c>
      <c r="G220" s="2" t="s">
        <v>32</v>
      </c>
      <c r="H220" s="4">
        <v>30.6</v>
      </c>
      <c r="I220" s="4">
        <v>32.67</v>
      </c>
      <c r="J220" s="4">
        <v>25.23</v>
      </c>
      <c r="K220" s="4">
        <v>1.53</v>
      </c>
      <c r="L220" s="4"/>
      <c r="M220" s="4" t="e">
        <f t="shared" si="9"/>
        <v>#DIV/0!</v>
      </c>
      <c r="N220" s="4">
        <f t="shared" si="10"/>
        <v>1.2128418549346</v>
      </c>
      <c r="O220" s="4">
        <f t="shared" si="11"/>
        <v>20</v>
      </c>
      <c r="P220" s="4">
        <v>16.6</v>
      </c>
      <c r="Q220" s="4">
        <v>1.68</v>
      </c>
      <c r="R220" s="4">
        <v>6.13</v>
      </c>
      <c r="S220" s="4"/>
      <c r="T220" s="4">
        <v>69</v>
      </c>
      <c r="U220" s="4">
        <v>22</v>
      </c>
      <c r="V220" s="4">
        <v>1</v>
      </c>
    </row>
    <row r="221" spans="1:22">
      <c r="A221" s="7" t="s">
        <v>217</v>
      </c>
      <c r="B221" s="4" t="s">
        <v>45</v>
      </c>
      <c r="C221" s="4">
        <v>49</v>
      </c>
      <c r="D221" s="9" t="s">
        <v>42</v>
      </c>
      <c r="E221" s="4" t="s">
        <v>29</v>
      </c>
      <c r="F221" s="4" t="s">
        <v>29</v>
      </c>
      <c r="G221" s="4" t="s">
        <v>29</v>
      </c>
      <c r="H221" s="4">
        <v>5.34</v>
      </c>
      <c r="I221" s="4">
        <v>32.97</v>
      </c>
      <c r="J221" s="4">
        <v>23.66</v>
      </c>
      <c r="K221" s="4">
        <v>1.38</v>
      </c>
      <c r="L221" s="4">
        <v>93</v>
      </c>
      <c r="M221" s="4">
        <f t="shared" si="9"/>
        <v>5.74193548387097</v>
      </c>
      <c r="N221" s="4">
        <f t="shared" si="10"/>
        <v>0.225697379543533</v>
      </c>
      <c r="O221" s="4">
        <f t="shared" si="11"/>
        <v>3.8695652173913</v>
      </c>
      <c r="P221" s="4">
        <v>12.2</v>
      </c>
      <c r="Q221" s="4">
        <v>5.78</v>
      </c>
      <c r="R221" s="4">
        <v>14.22</v>
      </c>
      <c r="S221" s="4">
        <v>71.73</v>
      </c>
      <c r="T221" s="4">
        <v>3</v>
      </c>
      <c r="U221" s="4">
        <v>35</v>
      </c>
      <c r="V221" s="4">
        <v>1</v>
      </c>
    </row>
    <row r="222" spans="1:22">
      <c r="A222" s="7" t="s">
        <v>218</v>
      </c>
      <c r="B222" s="4" t="s">
        <v>41</v>
      </c>
      <c r="C222" s="4">
        <v>56</v>
      </c>
      <c r="D222" s="9" t="s">
        <v>42</v>
      </c>
      <c r="E222" s="4" t="s">
        <v>24</v>
      </c>
      <c r="F222" s="4" t="s">
        <v>25</v>
      </c>
      <c r="G222" s="4" t="s">
        <v>25</v>
      </c>
      <c r="H222" s="4">
        <v>2.1</v>
      </c>
      <c r="I222" s="4">
        <v>24.13</v>
      </c>
      <c r="J222" s="4">
        <v>21.21</v>
      </c>
      <c r="K222" s="4">
        <v>1.49</v>
      </c>
      <c r="L222" s="4">
        <v>67</v>
      </c>
      <c r="M222" s="4">
        <f t="shared" si="9"/>
        <v>3.13432835820896</v>
      </c>
      <c r="N222" s="4">
        <f t="shared" si="10"/>
        <v>0.099009900990099</v>
      </c>
      <c r="O222" s="4">
        <f t="shared" si="11"/>
        <v>1.40939597315436</v>
      </c>
      <c r="P222" s="4">
        <v>16.6</v>
      </c>
      <c r="Q222" s="4">
        <v>8.19</v>
      </c>
      <c r="R222" s="4">
        <v>2.17</v>
      </c>
      <c r="S222" s="4">
        <v>7.33</v>
      </c>
      <c r="T222" s="4">
        <v>29</v>
      </c>
      <c r="U222" s="4">
        <v>65</v>
      </c>
      <c r="V222" s="4">
        <v>0</v>
      </c>
    </row>
    <row r="223" spans="1:22">
      <c r="A223" s="7" t="s">
        <v>219</v>
      </c>
      <c r="B223" s="4" t="s">
        <v>45</v>
      </c>
      <c r="C223" s="4">
        <v>67</v>
      </c>
      <c r="D223" s="9" t="s">
        <v>28</v>
      </c>
      <c r="E223" s="4" t="s">
        <v>24</v>
      </c>
      <c r="F223" s="4" t="s">
        <v>25</v>
      </c>
      <c r="G223" s="4" t="s">
        <v>25</v>
      </c>
      <c r="H223" s="4">
        <v>1.39</v>
      </c>
      <c r="I223" s="4">
        <v>19.35</v>
      </c>
      <c r="J223" s="4">
        <v>13.13</v>
      </c>
      <c r="K223" s="4">
        <v>0.54</v>
      </c>
      <c r="L223" s="4">
        <v>102</v>
      </c>
      <c r="M223" s="4">
        <f t="shared" si="9"/>
        <v>1.36274509803922</v>
      </c>
      <c r="N223" s="4">
        <f t="shared" si="10"/>
        <v>0.105864432597106</v>
      </c>
      <c r="O223" s="4">
        <f t="shared" si="11"/>
        <v>2.57407407407407</v>
      </c>
      <c r="P223" s="4">
        <v>13.5</v>
      </c>
      <c r="Q223" s="4">
        <v>3.18</v>
      </c>
      <c r="R223" s="4">
        <v>1.17</v>
      </c>
      <c r="S223" s="4">
        <v>4.06</v>
      </c>
      <c r="T223" s="4">
        <v>247</v>
      </c>
      <c r="U223" s="4">
        <v>27</v>
      </c>
      <c r="V223" s="4">
        <v>0</v>
      </c>
    </row>
    <row r="224" spans="1:22">
      <c r="A224" s="7" t="s">
        <v>220</v>
      </c>
      <c r="B224" s="4" t="s">
        <v>41</v>
      </c>
      <c r="C224" s="4">
        <v>74</v>
      </c>
      <c r="D224" s="9" t="s">
        <v>42</v>
      </c>
      <c r="E224" s="4" t="s">
        <v>29</v>
      </c>
      <c r="F224" s="4" t="s">
        <v>29</v>
      </c>
      <c r="G224" s="4" t="s">
        <v>29</v>
      </c>
      <c r="H224" s="4">
        <v>5.08</v>
      </c>
      <c r="I224" s="4">
        <v>32.18</v>
      </c>
      <c r="J224" s="4">
        <v>19.66</v>
      </c>
      <c r="K224" s="4">
        <v>0.78</v>
      </c>
      <c r="L224" s="4">
        <v>56</v>
      </c>
      <c r="M224" s="4">
        <f t="shared" si="9"/>
        <v>9.07142857142857</v>
      </c>
      <c r="N224" s="4">
        <f t="shared" si="10"/>
        <v>0.258392675483215</v>
      </c>
      <c r="O224" s="4">
        <f t="shared" si="11"/>
        <v>6.51282051282051</v>
      </c>
      <c r="P224" s="4">
        <v>17.6</v>
      </c>
      <c r="Q224" s="4">
        <v>2.78</v>
      </c>
      <c r="R224" s="4">
        <v>1.83</v>
      </c>
      <c r="S224" s="4">
        <v>11.03</v>
      </c>
      <c r="T224" s="4">
        <v>29</v>
      </c>
      <c r="U224" s="4">
        <v>70</v>
      </c>
      <c r="V224" s="4">
        <v>1</v>
      </c>
    </row>
    <row r="225" spans="1:22">
      <c r="A225" s="7" t="s">
        <v>220</v>
      </c>
      <c r="B225" s="4" t="s">
        <v>41</v>
      </c>
      <c r="C225" s="4">
        <v>74</v>
      </c>
      <c r="D225" s="9" t="s">
        <v>42</v>
      </c>
      <c r="E225" s="4" t="s">
        <v>24</v>
      </c>
      <c r="F225" s="4" t="s">
        <v>31</v>
      </c>
      <c r="G225" s="2" t="s">
        <v>33</v>
      </c>
      <c r="H225" s="4">
        <v>4.76</v>
      </c>
      <c r="I225" s="4">
        <v>15.57</v>
      </c>
      <c r="J225" s="4">
        <v>23.54</v>
      </c>
      <c r="K225" s="4">
        <v>1.59</v>
      </c>
      <c r="L225" s="4">
        <v>42</v>
      </c>
      <c r="M225" s="4">
        <f t="shared" si="9"/>
        <v>11.3333333333333</v>
      </c>
      <c r="N225" s="4">
        <f t="shared" si="10"/>
        <v>0.202209005947324</v>
      </c>
      <c r="O225" s="4">
        <f t="shared" si="11"/>
        <v>2.9937106918239</v>
      </c>
      <c r="P225" s="4">
        <v>19.1</v>
      </c>
      <c r="Q225" s="4">
        <v>4.44</v>
      </c>
      <c r="R225" s="4">
        <v>6.42</v>
      </c>
      <c r="S225" s="4">
        <v>25.55</v>
      </c>
      <c r="T225" s="4">
        <v>124</v>
      </c>
      <c r="U225" s="4">
        <v>70</v>
      </c>
      <c r="V225" s="4">
        <v>1</v>
      </c>
    </row>
    <row r="226" spans="1:22">
      <c r="A226" s="7" t="s">
        <v>220</v>
      </c>
      <c r="B226" s="4" t="s">
        <v>41</v>
      </c>
      <c r="C226" s="4">
        <v>74</v>
      </c>
      <c r="D226" s="9" t="s">
        <v>42</v>
      </c>
      <c r="E226" s="4" t="s">
        <v>24</v>
      </c>
      <c r="F226" s="4" t="s">
        <v>25</v>
      </c>
      <c r="G226" s="4" t="s">
        <v>25</v>
      </c>
      <c r="H226" s="4">
        <v>6.15</v>
      </c>
      <c r="I226" s="4">
        <v>15.41</v>
      </c>
      <c r="J226" s="4">
        <v>27.87</v>
      </c>
      <c r="K226" s="4">
        <v>1.14</v>
      </c>
      <c r="L226" s="4">
        <v>107</v>
      </c>
      <c r="M226" s="4">
        <f t="shared" si="9"/>
        <v>5.74766355140187</v>
      </c>
      <c r="N226" s="4">
        <f t="shared" si="10"/>
        <v>0.220667384284177</v>
      </c>
      <c r="O226" s="4">
        <f t="shared" si="11"/>
        <v>5.39473684210526</v>
      </c>
      <c r="P226" s="4">
        <v>14.7</v>
      </c>
      <c r="Q226" s="4">
        <v>1.53</v>
      </c>
      <c r="R226" s="4">
        <v>2.97</v>
      </c>
      <c r="S226" s="4">
        <v>16.12</v>
      </c>
      <c r="T226" s="4">
        <v>149</v>
      </c>
      <c r="U226" s="4">
        <v>70</v>
      </c>
      <c r="V226" s="4">
        <v>1</v>
      </c>
    </row>
    <row r="227" spans="1:22">
      <c r="A227" s="7" t="s">
        <v>221</v>
      </c>
      <c r="B227" s="4" t="s">
        <v>41</v>
      </c>
      <c r="C227" s="4">
        <v>75</v>
      </c>
      <c r="D227" s="9" t="s">
        <v>42</v>
      </c>
      <c r="E227" s="4" t="s">
        <v>24</v>
      </c>
      <c r="F227" s="4" t="s">
        <v>25</v>
      </c>
      <c r="G227" s="4" t="s">
        <v>25</v>
      </c>
      <c r="H227" s="4">
        <v>7.96</v>
      </c>
      <c r="I227" s="4">
        <v>19.34</v>
      </c>
      <c r="J227" s="4">
        <v>7.28</v>
      </c>
      <c r="K227" s="4">
        <v>2.25</v>
      </c>
      <c r="L227" s="4"/>
      <c r="M227" s="4" t="e">
        <f t="shared" si="9"/>
        <v>#DIV/0!</v>
      </c>
      <c r="N227" s="4">
        <f t="shared" si="10"/>
        <v>1.09340659340659</v>
      </c>
      <c r="O227" s="4">
        <f t="shared" si="11"/>
        <v>3.53777777777778</v>
      </c>
      <c r="P227" s="4">
        <v>13.7</v>
      </c>
      <c r="Q227" s="4">
        <v>4.65</v>
      </c>
      <c r="R227" s="4">
        <v>5.14</v>
      </c>
      <c r="S227" s="4"/>
      <c r="T227" s="4">
        <v>256</v>
      </c>
      <c r="U227" s="4">
        <v>8</v>
      </c>
      <c r="V227" s="4">
        <v>0</v>
      </c>
    </row>
    <row r="228" spans="1:22">
      <c r="A228" s="7" t="s">
        <v>222</v>
      </c>
      <c r="B228" s="4" t="s">
        <v>41</v>
      </c>
      <c r="C228" s="4">
        <v>80</v>
      </c>
      <c r="D228" s="9" t="s">
        <v>42</v>
      </c>
      <c r="E228" s="4" t="s">
        <v>24</v>
      </c>
      <c r="F228" s="4" t="s">
        <v>25</v>
      </c>
      <c r="G228" s="4" t="s">
        <v>25</v>
      </c>
      <c r="H228" s="4">
        <v>6.32</v>
      </c>
      <c r="I228" s="4">
        <v>7.54</v>
      </c>
      <c r="J228" s="4">
        <v>4.69</v>
      </c>
      <c r="K228" s="4">
        <v>1.76</v>
      </c>
      <c r="L228" s="4">
        <v>59</v>
      </c>
      <c r="M228" s="4">
        <f t="shared" si="9"/>
        <v>10.7118644067797</v>
      </c>
      <c r="N228" s="4">
        <f t="shared" si="10"/>
        <v>1.34754797441365</v>
      </c>
      <c r="O228" s="4">
        <f t="shared" si="11"/>
        <v>3.59090909090909</v>
      </c>
      <c r="P228" s="4">
        <v>15.7</v>
      </c>
      <c r="Q228" s="4">
        <v>5.14</v>
      </c>
      <c r="R228" s="4">
        <v>5.5</v>
      </c>
      <c r="S228" s="4">
        <v>20.63</v>
      </c>
      <c r="T228" s="4">
        <v>188</v>
      </c>
      <c r="U228" s="4">
        <v>28</v>
      </c>
      <c r="V228" s="4">
        <v>0</v>
      </c>
    </row>
    <row r="229" spans="1:22">
      <c r="A229" s="1" t="s">
        <v>223</v>
      </c>
      <c r="B229" s="2" t="s">
        <v>41</v>
      </c>
      <c r="C229" s="2">
        <v>69</v>
      </c>
      <c r="D229" s="9" t="s">
        <v>28</v>
      </c>
      <c r="E229" s="4" t="s">
        <v>29</v>
      </c>
      <c r="F229" s="4" t="s">
        <v>29</v>
      </c>
      <c r="G229" s="4" t="s">
        <v>29</v>
      </c>
      <c r="H229" s="2">
        <v>24.49</v>
      </c>
      <c r="I229" s="2">
        <v>21.11</v>
      </c>
      <c r="J229" s="2">
        <v>11.95</v>
      </c>
      <c r="K229" s="2">
        <v>4.08</v>
      </c>
      <c r="L229" s="2">
        <v>67</v>
      </c>
      <c r="M229" s="4">
        <f t="shared" si="9"/>
        <v>36.5522388059701</v>
      </c>
      <c r="N229" s="4">
        <f t="shared" si="10"/>
        <v>2.04937238493724</v>
      </c>
      <c r="O229" s="4">
        <f t="shared" si="11"/>
        <v>6.00245098039216</v>
      </c>
      <c r="P229" s="2">
        <v>17.4</v>
      </c>
      <c r="Q229" s="2">
        <v>1.77</v>
      </c>
      <c r="R229" s="2">
        <v>16.89</v>
      </c>
      <c r="S229" s="2">
        <v>69.25</v>
      </c>
      <c r="T229" s="2">
        <v>39</v>
      </c>
      <c r="U229" s="4">
        <v>30</v>
      </c>
      <c r="V229" s="4">
        <v>0</v>
      </c>
    </row>
    <row r="230" spans="1:22">
      <c r="A230" s="1" t="s">
        <v>223</v>
      </c>
      <c r="B230" s="2" t="s">
        <v>41</v>
      </c>
      <c r="C230" s="2">
        <v>69</v>
      </c>
      <c r="D230" s="9" t="s">
        <v>28</v>
      </c>
      <c r="E230" s="4" t="s">
        <v>29</v>
      </c>
      <c r="F230" s="4" t="s">
        <v>29</v>
      </c>
      <c r="G230" s="4" t="s">
        <v>29</v>
      </c>
      <c r="H230" s="2">
        <v>66.89</v>
      </c>
      <c r="I230" s="2">
        <v>32.55</v>
      </c>
      <c r="J230" s="2">
        <v>12.99</v>
      </c>
      <c r="K230" s="2">
        <v>2.03</v>
      </c>
      <c r="L230" s="2"/>
      <c r="M230" s="4" t="e">
        <f t="shared" si="9"/>
        <v>#DIV/0!</v>
      </c>
      <c r="N230" s="4">
        <f t="shared" si="10"/>
        <v>5.14934565050038</v>
      </c>
      <c r="O230" s="4">
        <f t="shared" si="11"/>
        <v>32.9507389162562</v>
      </c>
      <c r="P230" s="2">
        <v>23.2</v>
      </c>
      <c r="Q230" s="2">
        <v>2.71</v>
      </c>
      <c r="R230" s="2">
        <v>31.3</v>
      </c>
      <c r="S230" s="2"/>
      <c r="T230" s="2">
        <v>31</v>
      </c>
      <c r="U230" s="4">
        <v>30</v>
      </c>
      <c r="V230" s="4">
        <v>0</v>
      </c>
    </row>
    <row r="231" spans="1:22">
      <c r="A231" s="1" t="s">
        <v>224</v>
      </c>
      <c r="B231" s="2" t="s">
        <v>41</v>
      </c>
      <c r="C231" s="2">
        <v>56</v>
      </c>
      <c r="D231" s="9" t="s">
        <v>28</v>
      </c>
      <c r="E231" s="4" t="s">
        <v>24</v>
      </c>
      <c r="F231" s="4" t="s">
        <v>25</v>
      </c>
      <c r="G231" s="4" t="s">
        <v>25</v>
      </c>
      <c r="H231" s="2">
        <v>4.1</v>
      </c>
      <c r="I231" s="2">
        <v>20.65</v>
      </c>
      <c r="J231" s="2">
        <v>12.95</v>
      </c>
      <c r="K231" s="2">
        <v>1.29</v>
      </c>
      <c r="L231" s="2">
        <v>69</v>
      </c>
      <c r="M231" s="4">
        <f t="shared" si="9"/>
        <v>5.94202898550725</v>
      </c>
      <c r="N231" s="4">
        <f t="shared" si="10"/>
        <v>0.316602316602317</v>
      </c>
      <c r="O231" s="4">
        <f t="shared" si="11"/>
        <v>3.17829457364341</v>
      </c>
      <c r="P231" s="2">
        <v>17.1</v>
      </c>
      <c r="Q231" s="2">
        <v>1.75</v>
      </c>
      <c r="R231" s="2">
        <v>3.91</v>
      </c>
      <c r="S231" s="2">
        <v>11.33</v>
      </c>
      <c r="T231" s="2">
        <v>158</v>
      </c>
      <c r="U231" s="4">
        <v>10</v>
      </c>
      <c r="V231" s="4">
        <v>0</v>
      </c>
    </row>
    <row r="232" spans="1:22">
      <c r="A232" s="1" t="s">
        <v>225</v>
      </c>
      <c r="B232" s="2" t="s">
        <v>45</v>
      </c>
      <c r="C232" s="2">
        <v>53</v>
      </c>
      <c r="D232" s="9" t="s">
        <v>42</v>
      </c>
      <c r="E232" s="4" t="s">
        <v>24</v>
      </c>
      <c r="F232" s="4" t="s">
        <v>25</v>
      </c>
      <c r="G232" s="4" t="s">
        <v>25</v>
      </c>
      <c r="H232" s="2">
        <v>2.77</v>
      </c>
      <c r="I232" s="2">
        <v>15.69</v>
      </c>
      <c r="J232" s="2">
        <v>21.2</v>
      </c>
      <c r="K232" s="2">
        <v>4.37</v>
      </c>
      <c r="L232" s="2"/>
      <c r="M232" s="4" t="e">
        <f t="shared" si="9"/>
        <v>#DIV/0!</v>
      </c>
      <c r="N232" s="4">
        <f t="shared" si="10"/>
        <v>0.130660377358491</v>
      </c>
      <c r="O232" s="4">
        <f t="shared" si="11"/>
        <v>0.633867276887872</v>
      </c>
      <c r="P232" s="2">
        <v>13</v>
      </c>
      <c r="Q232" s="2">
        <v>3.29</v>
      </c>
      <c r="R232" s="2"/>
      <c r="S232" s="2"/>
      <c r="T232" s="2">
        <v>57</v>
      </c>
      <c r="U232" s="4">
        <v>25</v>
      </c>
      <c r="V232" s="4">
        <v>0</v>
      </c>
    </row>
    <row r="233" spans="1:22">
      <c r="A233" s="1" t="s">
        <v>226</v>
      </c>
      <c r="B233" s="2" t="s">
        <v>45</v>
      </c>
      <c r="C233" s="2">
        <v>64</v>
      </c>
      <c r="D233" s="9" t="s">
        <v>42</v>
      </c>
      <c r="E233" s="4" t="s">
        <v>24</v>
      </c>
      <c r="F233" s="4" t="s">
        <v>31</v>
      </c>
      <c r="G233" s="2" t="s">
        <v>33</v>
      </c>
      <c r="H233" s="2">
        <v>15.38</v>
      </c>
      <c r="I233" s="2">
        <v>81.06</v>
      </c>
      <c r="J233" s="2">
        <v>50.78</v>
      </c>
      <c r="K233" s="2">
        <v>3.72</v>
      </c>
      <c r="L233" s="2">
        <v>36</v>
      </c>
      <c r="M233" s="4">
        <f t="shared" si="9"/>
        <v>42.7222222222222</v>
      </c>
      <c r="N233" s="4">
        <f t="shared" si="10"/>
        <v>0.302875147695943</v>
      </c>
      <c r="O233" s="4">
        <f t="shared" si="11"/>
        <v>4.13440860215054</v>
      </c>
      <c r="P233" s="2">
        <v>19.5</v>
      </c>
      <c r="Q233" s="2">
        <v>3.27</v>
      </c>
      <c r="R233" s="2">
        <v>12.87</v>
      </c>
      <c r="S233" s="2">
        <v>72.09</v>
      </c>
      <c r="T233" s="2">
        <v>108</v>
      </c>
      <c r="U233" s="4">
        <v>43</v>
      </c>
      <c r="V233" s="4">
        <v>0</v>
      </c>
    </row>
    <row r="234" spans="1:22">
      <c r="A234" s="7" t="s">
        <v>227</v>
      </c>
      <c r="B234" s="4" t="s">
        <v>41</v>
      </c>
      <c r="C234" s="4">
        <v>89</v>
      </c>
      <c r="D234" s="9" t="s">
        <v>42</v>
      </c>
      <c r="E234" s="4" t="s">
        <v>24</v>
      </c>
      <c r="F234" s="4" t="s">
        <v>31</v>
      </c>
      <c r="G234" s="2" t="s">
        <v>32</v>
      </c>
      <c r="H234" s="4">
        <v>0.73</v>
      </c>
      <c r="I234" s="4">
        <v>39.2</v>
      </c>
      <c r="J234" s="4">
        <v>47.42</v>
      </c>
      <c r="K234" s="4">
        <v>0.46</v>
      </c>
      <c r="L234" s="4">
        <v>49</v>
      </c>
      <c r="M234" s="4">
        <f t="shared" si="9"/>
        <v>1.48979591836735</v>
      </c>
      <c r="N234" s="4">
        <f t="shared" si="10"/>
        <v>0.0153943483762126</v>
      </c>
      <c r="O234" s="4">
        <f t="shared" si="11"/>
        <v>1.58695652173913</v>
      </c>
      <c r="P234" s="4">
        <v>20.5</v>
      </c>
      <c r="Q234" s="4">
        <v>3.48</v>
      </c>
      <c r="R234" s="4">
        <v>0.49</v>
      </c>
      <c r="S234" s="4">
        <v>3.67</v>
      </c>
      <c r="T234" s="4">
        <v>94</v>
      </c>
      <c r="U234" s="4">
        <v>24</v>
      </c>
      <c r="V234" s="4">
        <v>1</v>
      </c>
    </row>
    <row r="235" spans="1:22">
      <c r="A235" s="1" t="s">
        <v>228</v>
      </c>
      <c r="B235" s="2" t="s">
        <v>41</v>
      </c>
      <c r="C235" s="2">
        <v>52</v>
      </c>
      <c r="D235" s="9" t="s">
        <v>28</v>
      </c>
      <c r="E235" s="4" t="s">
        <v>24</v>
      </c>
      <c r="F235" s="4" t="s">
        <v>25</v>
      </c>
      <c r="G235" s="4" t="s">
        <v>25</v>
      </c>
      <c r="H235" s="2">
        <v>2.32</v>
      </c>
      <c r="I235" s="2">
        <v>19.7</v>
      </c>
      <c r="J235" s="2">
        <v>7.75</v>
      </c>
      <c r="K235" s="2">
        <v>1.42</v>
      </c>
      <c r="L235" s="2">
        <v>69</v>
      </c>
      <c r="M235" s="4">
        <f t="shared" si="9"/>
        <v>3.36231884057971</v>
      </c>
      <c r="N235" s="4">
        <f t="shared" si="10"/>
        <v>0.299354838709677</v>
      </c>
      <c r="O235" s="4">
        <f t="shared" si="11"/>
        <v>1.63380281690141</v>
      </c>
      <c r="P235" s="2">
        <v>13.8</v>
      </c>
      <c r="Q235" s="2">
        <v>4.98</v>
      </c>
      <c r="R235" s="2">
        <v>1.88</v>
      </c>
      <c r="S235" s="2">
        <v>8.73</v>
      </c>
      <c r="T235" s="2">
        <v>101</v>
      </c>
      <c r="U235" s="4">
        <v>32</v>
      </c>
      <c r="V235" s="4">
        <v>0</v>
      </c>
    </row>
    <row r="236" spans="1:22">
      <c r="A236" s="1" t="s">
        <v>228</v>
      </c>
      <c r="B236" s="2" t="s">
        <v>41</v>
      </c>
      <c r="C236" s="2">
        <v>52</v>
      </c>
      <c r="D236" s="9" t="s">
        <v>28</v>
      </c>
      <c r="E236" s="4" t="s">
        <v>24</v>
      </c>
      <c r="F236" s="4" t="s">
        <v>25</v>
      </c>
      <c r="G236" s="4" t="s">
        <v>25</v>
      </c>
      <c r="H236" s="2">
        <v>15.92</v>
      </c>
      <c r="I236" s="2">
        <v>7.97</v>
      </c>
      <c r="J236" s="2">
        <v>31.53</v>
      </c>
      <c r="K236" s="2">
        <v>7.05</v>
      </c>
      <c r="L236" s="2">
        <v>72</v>
      </c>
      <c r="M236" s="4">
        <f t="shared" si="9"/>
        <v>22.1111111111111</v>
      </c>
      <c r="N236" s="4">
        <f t="shared" si="10"/>
        <v>0.504915953060577</v>
      </c>
      <c r="O236" s="4">
        <f t="shared" si="11"/>
        <v>2.25815602836879</v>
      </c>
      <c r="P236" s="2">
        <v>13.9</v>
      </c>
      <c r="Q236" s="2">
        <v>3.09</v>
      </c>
      <c r="R236" s="2">
        <v>14.21</v>
      </c>
      <c r="S236" s="2">
        <v>45.84</v>
      </c>
      <c r="T236" s="2">
        <v>114</v>
      </c>
      <c r="U236" s="4">
        <v>32</v>
      </c>
      <c r="V236" s="4">
        <v>0</v>
      </c>
    </row>
    <row r="237" spans="1:22">
      <c r="A237" s="1" t="s">
        <v>228</v>
      </c>
      <c r="B237" s="2" t="s">
        <v>41</v>
      </c>
      <c r="C237" s="2">
        <v>52</v>
      </c>
      <c r="D237" s="9" t="s">
        <v>28</v>
      </c>
      <c r="E237" s="4" t="s">
        <v>24</v>
      </c>
      <c r="F237" s="4" t="s">
        <v>25</v>
      </c>
      <c r="G237" s="4" t="s">
        <v>25</v>
      </c>
      <c r="H237" s="2">
        <v>63.81</v>
      </c>
      <c r="I237" s="2">
        <v>6.94</v>
      </c>
      <c r="J237" s="2">
        <v>27.2</v>
      </c>
      <c r="K237" s="2">
        <v>13.16</v>
      </c>
      <c r="L237" s="2">
        <v>82</v>
      </c>
      <c r="M237" s="4">
        <f t="shared" si="9"/>
        <v>77.8170731707317</v>
      </c>
      <c r="N237" s="4">
        <f t="shared" si="10"/>
        <v>2.34595588235294</v>
      </c>
      <c r="O237" s="4">
        <f t="shared" si="11"/>
        <v>4.84878419452888</v>
      </c>
      <c r="P237" s="2">
        <v>15</v>
      </c>
      <c r="Q237" s="2">
        <v>1.62</v>
      </c>
      <c r="R237" s="2">
        <v>20</v>
      </c>
      <c r="S237" s="2">
        <v>121.28</v>
      </c>
      <c r="T237" s="2">
        <v>101</v>
      </c>
      <c r="U237" s="4">
        <v>32</v>
      </c>
      <c r="V237" s="4">
        <v>0</v>
      </c>
    </row>
    <row r="238" spans="1:22">
      <c r="A238" s="7" t="s">
        <v>229</v>
      </c>
      <c r="B238" s="4" t="s">
        <v>45</v>
      </c>
      <c r="C238" s="4">
        <v>93</v>
      </c>
      <c r="D238" s="9" t="s">
        <v>42</v>
      </c>
      <c r="E238" s="4" t="s">
        <v>29</v>
      </c>
      <c r="F238" s="4" t="s">
        <v>29</v>
      </c>
      <c r="G238" s="4" t="s">
        <v>29</v>
      </c>
      <c r="H238" s="4">
        <v>60.86</v>
      </c>
      <c r="I238" s="4">
        <v>34.74</v>
      </c>
      <c r="J238" s="4">
        <v>70.61</v>
      </c>
      <c r="K238" s="4">
        <v>0.77</v>
      </c>
      <c r="L238" s="4">
        <v>22</v>
      </c>
      <c r="M238" s="4">
        <f t="shared" si="9"/>
        <v>276.636363636364</v>
      </c>
      <c r="N238" s="4">
        <f t="shared" si="10"/>
        <v>0.861917575414247</v>
      </c>
      <c r="O238" s="4">
        <f t="shared" si="11"/>
        <v>79.038961038961</v>
      </c>
      <c r="P238" s="4">
        <v>32.1</v>
      </c>
      <c r="Q238" s="4">
        <v>0.77</v>
      </c>
      <c r="R238" s="4">
        <v>4.47</v>
      </c>
      <c r="S238" s="4">
        <v>19.01</v>
      </c>
      <c r="T238" s="4">
        <v>18</v>
      </c>
      <c r="U238" s="4">
        <v>15</v>
      </c>
      <c r="V238" s="4">
        <v>1</v>
      </c>
    </row>
    <row r="239" ht="13.9" spans="1:22">
      <c r="A239" s="7" t="s">
        <v>230</v>
      </c>
      <c r="B239" s="4" t="s">
        <v>45</v>
      </c>
      <c r="C239" s="4">
        <v>36</v>
      </c>
      <c r="D239" s="9" t="s">
        <v>61</v>
      </c>
      <c r="E239" s="4" t="s">
        <v>24</v>
      </c>
      <c r="F239" s="4" t="s">
        <v>25</v>
      </c>
      <c r="G239" s="4" t="s">
        <v>25</v>
      </c>
      <c r="H239" s="4">
        <v>3.06</v>
      </c>
      <c r="I239" s="4">
        <v>12.05</v>
      </c>
      <c r="J239" s="4">
        <v>7.29</v>
      </c>
      <c r="K239" s="4">
        <v>0.44</v>
      </c>
      <c r="L239" s="4">
        <v>76</v>
      </c>
      <c r="M239" s="4">
        <f t="shared" si="9"/>
        <v>4.02631578947368</v>
      </c>
      <c r="N239" s="4">
        <f t="shared" si="10"/>
        <v>0.419753086419753</v>
      </c>
      <c r="O239" s="4">
        <f t="shared" si="11"/>
        <v>6.95454545454546</v>
      </c>
      <c r="P239" s="4">
        <v>14.9</v>
      </c>
      <c r="Q239" s="4">
        <v>2.87</v>
      </c>
      <c r="R239" s="4">
        <v>0.98</v>
      </c>
      <c r="S239" s="4">
        <v>3.54</v>
      </c>
      <c r="T239" s="4">
        <v>536</v>
      </c>
      <c r="U239" s="4">
        <v>19</v>
      </c>
      <c r="V239" s="4">
        <v>0</v>
      </c>
    </row>
    <row r="240" spans="1:22">
      <c r="A240" s="7" t="s">
        <v>231</v>
      </c>
      <c r="B240" s="4" t="s">
        <v>41</v>
      </c>
      <c r="C240" s="4">
        <v>66</v>
      </c>
      <c r="D240" s="9" t="s">
        <v>42</v>
      </c>
      <c r="E240" s="4" t="s">
        <v>29</v>
      </c>
      <c r="F240" s="4" t="s">
        <v>29</v>
      </c>
      <c r="G240" s="4" t="s">
        <v>29</v>
      </c>
      <c r="H240" s="4">
        <v>30.95</v>
      </c>
      <c r="I240" s="4">
        <v>15.64</v>
      </c>
      <c r="J240" s="4">
        <v>11.24</v>
      </c>
      <c r="K240" s="4">
        <v>3.33</v>
      </c>
      <c r="L240" s="4">
        <v>76</v>
      </c>
      <c r="M240" s="4">
        <f t="shared" si="9"/>
        <v>40.7236842105263</v>
      </c>
      <c r="N240" s="4">
        <f t="shared" si="10"/>
        <v>2.75355871886121</v>
      </c>
      <c r="O240" s="4">
        <f t="shared" si="11"/>
        <v>9.29429429429429</v>
      </c>
      <c r="P240" s="4">
        <v>23</v>
      </c>
      <c r="Q240" s="4">
        <v>2.83</v>
      </c>
      <c r="R240" s="4">
        <v>20</v>
      </c>
      <c r="S240" s="4">
        <v>118.4</v>
      </c>
      <c r="T240" s="4">
        <v>28</v>
      </c>
      <c r="U240" s="4">
        <v>3</v>
      </c>
      <c r="V240" s="4">
        <v>1</v>
      </c>
    </row>
    <row r="241" spans="1:22">
      <c r="A241" s="7" t="s">
        <v>232</v>
      </c>
      <c r="B241" s="4" t="s">
        <v>41</v>
      </c>
      <c r="C241" s="4">
        <v>18</v>
      </c>
      <c r="D241" s="9" t="s">
        <v>42</v>
      </c>
      <c r="E241" s="4" t="s">
        <v>24</v>
      </c>
      <c r="F241" s="4" t="s">
        <v>25</v>
      </c>
      <c r="G241" s="4" t="s">
        <v>25</v>
      </c>
      <c r="H241" s="4">
        <v>4.9</v>
      </c>
      <c r="I241" s="4">
        <v>12.94</v>
      </c>
      <c r="J241" s="4">
        <v>5.06</v>
      </c>
      <c r="K241" s="4">
        <v>1.93</v>
      </c>
      <c r="L241" s="4"/>
      <c r="M241" s="4" t="e">
        <f t="shared" si="9"/>
        <v>#DIV/0!</v>
      </c>
      <c r="N241" s="4">
        <f t="shared" si="10"/>
        <v>0.968379446640316</v>
      </c>
      <c r="O241" s="4">
        <f t="shared" si="11"/>
        <v>2.53886010362694</v>
      </c>
      <c r="P241" s="4">
        <v>12.1</v>
      </c>
      <c r="Q241" s="4">
        <v>4.45</v>
      </c>
      <c r="R241" s="4">
        <v>3.91</v>
      </c>
      <c r="S241" s="4">
        <v>12.7</v>
      </c>
      <c r="T241" s="4">
        <v>244</v>
      </c>
      <c r="U241" s="4">
        <v>49</v>
      </c>
      <c r="V241" s="4">
        <v>0</v>
      </c>
    </row>
    <row r="242" spans="1:22">
      <c r="A242" s="7" t="s">
        <v>233</v>
      </c>
      <c r="B242" s="4" t="s">
        <v>45</v>
      </c>
      <c r="C242" s="4">
        <v>37</v>
      </c>
      <c r="D242" s="9" t="s">
        <v>35</v>
      </c>
      <c r="E242" s="4" t="s">
        <v>29</v>
      </c>
      <c r="F242" s="4" t="s">
        <v>29</v>
      </c>
      <c r="G242" s="4" t="s">
        <v>29</v>
      </c>
      <c r="H242" s="4">
        <v>7.01</v>
      </c>
      <c r="I242" s="4">
        <v>42.42</v>
      </c>
      <c r="J242" s="4">
        <v>21.69</v>
      </c>
      <c r="K242" s="4">
        <v>2.01</v>
      </c>
      <c r="L242" s="4">
        <v>81</v>
      </c>
      <c r="M242" s="4">
        <f t="shared" si="9"/>
        <v>8.65432098765432</v>
      </c>
      <c r="N242" s="4">
        <f t="shared" si="10"/>
        <v>0.32319041032734</v>
      </c>
      <c r="O242" s="4">
        <f t="shared" si="11"/>
        <v>3.48756218905473</v>
      </c>
      <c r="P242" s="4">
        <v>119.2</v>
      </c>
      <c r="Q242" s="4">
        <v>6.59</v>
      </c>
      <c r="R242" s="4">
        <v>13.78</v>
      </c>
      <c r="S242" s="4"/>
      <c r="T242" s="4">
        <v>79</v>
      </c>
      <c r="U242" s="4">
        <v>36</v>
      </c>
      <c r="V242" s="4">
        <v>0</v>
      </c>
    </row>
    <row r="243" spans="1:22">
      <c r="A243" s="7" t="s">
        <v>233</v>
      </c>
      <c r="B243" s="4" t="s">
        <v>45</v>
      </c>
      <c r="C243" s="4">
        <v>37</v>
      </c>
      <c r="D243" s="9" t="s">
        <v>35</v>
      </c>
      <c r="E243" s="4" t="s">
        <v>29</v>
      </c>
      <c r="F243" s="4" t="s">
        <v>29</v>
      </c>
      <c r="G243" s="4" t="s">
        <v>29</v>
      </c>
      <c r="H243" s="4">
        <v>64.46</v>
      </c>
      <c r="I243" s="4">
        <v>22.48</v>
      </c>
      <c r="J243" s="4">
        <v>23.78</v>
      </c>
      <c r="K243" s="4">
        <v>2.35</v>
      </c>
      <c r="L243" s="4"/>
      <c r="M243" s="4" t="e">
        <f t="shared" si="9"/>
        <v>#DIV/0!</v>
      </c>
      <c r="N243" s="4">
        <f t="shared" si="10"/>
        <v>2.71068124474348</v>
      </c>
      <c r="O243" s="4">
        <f t="shared" si="11"/>
        <v>27.4297872340425</v>
      </c>
      <c r="P243" s="4">
        <v>240</v>
      </c>
      <c r="Q243" s="4">
        <v>4.57</v>
      </c>
      <c r="R243" s="4">
        <v>14</v>
      </c>
      <c r="S243" s="4"/>
      <c r="T243" s="4">
        <v>68</v>
      </c>
      <c r="U243" s="4">
        <v>36</v>
      </c>
      <c r="V243" s="4">
        <v>0</v>
      </c>
    </row>
    <row r="244" spans="1:22">
      <c r="A244" s="7" t="s">
        <v>234</v>
      </c>
      <c r="B244" s="4" t="s">
        <v>41</v>
      </c>
      <c r="C244" s="4">
        <v>47</v>
      </c>
      <c r="D244" s="9" t="s">
        <v>42</v>
      </c>
      <c r="E244" s="4" t="s">
        <v>24</v>
      </c>
      <c r="F244" s="4" t="s">
        <v>25</v>
      </c>
      <c r="G244" s="4" t="s">
        <v>25</v>
      </c>
      <c r="H244" s="4">
        <v>1.95</v>
      </c>
      <c r="I244" s="4">
        <v>22.37</v>
      </c>
      <c r="J244" s="4">
        <v>12.42</v>
      </c>
      <c r="K244" s="4">
        <v>2.14</v>
      </c>
      <c r="L244" s="4">
        <v>83</v>
      </c>
      <c r="M244" s="4">
        <f t="shared" si="9"/>
        <v>2.34939759036145</v>
      </c>
      <c r="N244" s="4">
        <f t="shared" si="10"/>
        <v>0.157004830917874</v>
      </c>
      <c r="O244" s="4">
        <f t="shared" si="11"/>
        <v>0.911214953271028</v>
      </c>
      <c r="P244" s="4">
        <v>15.6</v>
      </c>
      <c r="Q244" s="4">
        <v>10.41</v>
      </c>
      <c r="R244" s="4">
        <v>2.31</v>
      </c>
      <c r="S244" s="4">
        <v>7.56</v>
      </c>
      <c r="T244" s="4">
        <v>503</v>
      </c>
      <c r="U244" s="4">
        <v>38</v>
      </c>
      <c r="V244" s="4">
        <v>0</v>
      </c>
    </row>
    <row r="245" spans="1:22">
      <c r="A245" s="7" t="s">
        <v>235</v>
      </c>
      <c r="B245" s="4" t="s">
        <v>41</v>
      </c>
      <c r="C245" s="4">
        <v>70</v>
      </c>
      <c r="D245" s="9" t="s">
        <v>42</v>
      </c>
      <c r="E245" s="4" t="s">
        <v>24</v>
      </c>
      <c r="F245" s="4" t="s">
        <v>31</v>
      </c>
      <c r="G245" s="2" t="s">
        <v>32</v>
      </c>
      <c r="H245" s="4">
        <v>11</v>
      </c>
      <c r="I245" s="4">
        <v>14.68</v>
      </c>
      <c r="J245" s="4">
        <v>1.83</v>
      </c>
      <c r="K245" s="4">
        <v>1.92</v>
      </c>
      <c r="L245" s="4"/>
      <c r="M245" s="4" t="e">
        <f t="shared" si="9"/>
        <v>#DIV/0!</v>
      </c>
      <c r="N245" s="4">
        <f t="shared" si="10"/>
        <v>6.01092896174863</v>
      </c>
      <c r="O245" s="4">
        <f t="shared" si="11"/>
        <v>5.72916666666667</v>
      </c>
      <c r="P245" s="4">
        <v>12.1</v>
      </c>
      <c r="Q245" s="4">
        <v>4.51</v>
      </c>
      <c r="R245" s="4">
        <v>4.68</v>
      </c>
      <c r="S245" s="4">
        <v>14.05</v>
      </c>
      <c r="T245" s="4">
        <v>69</v>
      </c>
      <c r="U245" s="4">
        <v>12</v>
      </c>
      <c r="V245" s="4">
        <v>1</v>
      </c>
    </row>
    <row r="246" ht="13.9" spans="1:22">
      <c r="A246" s="1" t="s">
        <v>236</v>
      </c>
      <c r="B246" s="2" t="s">
        <v>45</v>
      </c>
      <c r="C246" s="2">
        <v>64</v>
      </c>
      <c r="D246" s="9" t="s">
        <v>61</v>
      </c>
      <c r="E246" s="4" t="s">
        <v>29</v>
      </c>
      <c r="F246" s="4" t="s">
        <v>29</v>
      </c>
      <c r="G246" s="4" t="s">
        <v>29</v>
      </c>
      <c r="H246" s="2">
        <v>2.53</v>
      </c>
      <c r="I246" s="2">
        <v>14.03</v>
      </c>
      <c r="J246" s="2">
        <v>1.93</v>
      </c>
      <c r="K246" s="2">
        <v>0.79</v>
      </c>
      <c r="L246" s="2">
        <v>51</v>
      </c>
      <c r="M246" s="4">
        <f t="shared" si="9"/>
        <v>4.96078431372549</v>
      </c>
      <c r="N246" s="4">
        <f t="shared" si="10"/>
        <v>1.31088082901554</v>
      </c>
      <c r="O246" s="4">
        <f t="shared" si="11"/>
        <v>3.20253164556962</v>
      </c>
      <c r="P246" s="2">
        <v>19.2</v>
      </c>
      <c r="Q246" s="2">
        <v>2.73</v>
      </c>
      <c r="R246" s="2">
        <v>9.68</v>
      </c>
      <c r="S246" s="2">
        <v>45.88</v>
      </c>
      <c r="T246" s="2">
        <v>28</v>
      </c>
      <c r="U246" s="4">
        <v>38</v>
      </c>
      <c r="V246" s="4">
        <v>0</v>
      </c>
    </row>
    <row r="247" spans="1:22">
      <c r="A247" s="7" t="s">
        <v>237</v>
      </c>
      <c r="B247" s="4" t="s">
        <v>41</v>
      </c>
      <c r="C247" s="4">
        <v>69</v>
      </c>
      <c r="D247" s="9" t="s">
        <v>42</v>
      </c>
      <c r="E247" s="4" t="s">
        <v>24</v>
      </c>
      <c r="F247" s="4" t="s">
        <v>31</v>
      </c>
      <c r="G247" s="2" t="s">
        <v>33</v>
      </c>
      <c r="H247" s="4">
        <v>5.49</v>
      </c>
      <c r="I247" s="4">
        <v>44.71</v>
      </c>
      <c r="J247" s="4">
        <v>22.08</v>
      </c>
      <c r="K247" s="4">
        <v>0.58</v>
      </c>
      <c r="L247" s="4">
        <v>61</v>
      </c>
      <c r="M247" s="4">
        <f t="shared" si="9"/>
        <v>9</v>
      </c>
      <c r="N247" s="4">
        <f t="shared" si="10"/>
        <v>0.248641304347826</v>
      </c>
      <c r="O247" s="4">
        <f t="shared" si="11"/>
        <v>9.46551724137931</v>
      </c>
      <c r="P247" s="4">
        <v>15.6</v>
      </c>
      <c r="Q247" s="4">
        <v>4.7</v>
      </c>
      <c r="R247" s="4">
        <v>1.5</v>
      </c>
      <c r="S247" s="4">
        <v>6.71</v>
      </c>
      <c r="T247" s="4">
        <v>141</v>
      </c>
      <c r="U247" s="4">
        <v>9</v>
      </c>
      <c r="V247" s="4">
        <v>1</v>
      </c>
    </row>
    <row r="248" ht="13.9" spans="1:22">
      <c r="A248" s="7" t="s">
        <v>238</v>
      </c>
      <c r="B248" s="4" t="s">
        <v>41</v>
      </c>
      <c r="C248" s="4">
        <v>48</v>
      </c>
      <c r="D248" s="9" t="s">
        <v>61</v>
      </c>
      <c r="E248" s="4" t="s">
        <v>24</v>
      </c>
      <c r="F248" s="4" t="s">
        <v>25</v>
      </c>
      <c r="G248" s="4" t="s">
        <v>25</v>
      </c>
      <c r="H248" s="4">
        <v>17.35</v>
      </c>
      <c r="I248" s="4">
        <v>36.48</v>
      </c>
      <c r="J248" s="4">
        <v>15.86</v>
      </c>
      <c r="K248" s="4">
        <v>1.39</v>
      </c>
      <c r="L248" s="4">
        <v>63</v>
      </c>
      <c r="M248" s="4">
        <f t="shared" si="9"/>
        <v>27.5396825396825</v>
      </c>
      <c r="N248" s="4">
        <f t="shared" si="10"/>
        <v>1.09394703656999</v>
      </c>
      <c r="O248" s="4">
        <f t="shared" si="11"/>
        <v>12.4820143884892</v>
      </c>
      <c r="P248" s="4">
        <v>16.3</v>
      </c>
      <c r="Q248" s="4">
        <v>1.81</v>
      </c>
      <c r="R248" s="4">
        <v>6.79</v>
      </c>
      <c r="S248" s="4">
        <v>27.76</v>
      </c>
      <c r="T248" s="4">
        <v>112</v>
      </c>
      <c r="U248" s="4">
        <v>45</v>
      </c>
      <c r="V248" s="4">
        <v>0</v>
      </c>
    </row>
    <row r="249" ht="13.9" spans="1:22">
      <c r="A249" s="7" t="s">
        <v>239</v>
      </c>
      <c r="B249" s="4" t="s">
        <v>41</v>
      </c>
      <c r="C249" s="4">
        <v>22</v>
      </c>
      <c r="D249" s="9" t="s">
        <v>61</v>
      </c>
      <c r="E249" s="4" t="s">
        <v>29</v>
      </c>
      <c r="F249" s="4" t="s">
        <v>29</v>
      </c>
      <c r="G249" s="4" t="s">
        <v>29</v>
      </c>
      <c r="H249" s="4">
        <v>2.97</v>
      </c>
      <c r="I249" s="4">
        <v>3.37</v>
      </c>
      <c r="J249" s="4">
        <v>1.65</v>
      </c>
      <c r="K249" s="4">
        <v>0.71</v>
      </c>
      <c r="L249" s="4">
        <v>20</v>
      </c>
      <c r="M249" s="4">
        <f t="shared" si="9"/>
        <v>14.85</v>
      </c>
      <c r="N249" s="4">
        <f t="shared" si="10"/>
        <v>1.8</v>
      </c>
      <c r="O249" s="4">
        <f t="shared" si="11"/>
        <v>4.1830985915493</v>
      </c>
      <c r="P249" s="4">
        <v>39.8</v>
      </c>
      <c r="Q249" s="4">
        <v>0.93</v>
      </c>
      <c r="R249" s="4">
        <v>1.38</v>
      </c>
      <c r="S249" s="4">
        <v>4.65</v>
      </c>
      <c r="T249" s="4">
        <v>123</v>
      </c>
      <c r="U249" s="4">
        <v>31</v>
      </c>
      <c r="V249" s="4">
        <v>0</v>
      </c>
    </row>
    <row r="250" spans="1:22">
      <c r="A250" s="1" t="s">
        <v>240</v>
      </c>
      <c r="B250" s="2" t="s">
        <v>41</v>
      </c>
      <c r="C250" s="2">
        <v>55</v>
      </c>
      <c r="D250" s="9" t="s">
        <v>28</v>
      </c>
      <c r="E250" s="4" t="s">
        <v>29</v>
      </c>
      <c r="F250" s="4" t="s">
        <v>29</v>
      </c>
      <c r="G250" s="4" t="s">
        <v>29</v>
      </c>
      <c r="H250" s="2">
        <v>18.48</v>
      </c>
      <c r="I250" s="2">
        <v>30.1</v>
      </c>
      <c r="J250" s="2">
        <v>17.54</v>
      </c>
      <c r="K250" s="2">
        <v>1.76</v>
      </c>
      <c r="L250" s="2">
        <v>65</v>
      </c>
      <c r="M250" s="4">
        <f t="shared" si="9"/>
        <v>28.4307692307692</v>
      </c>
      <c r="N250" s="4">
        <f t="shared" si="10"/>
        <v>1.05359179019384</v>
      </c>
      <c r="O250" s="4">
        <f t="shared" si="11"/>
        <v>10.5</v>
      </c>
      <c r="P250" s="2">
        <v>39</v>
      </c>
      <c r="Q250" s="2">
        <v>2.86</v>
      </c>
      <c r="R250" s="2">
        <v>20</v>
      </c>
      <c r="S250" s="2">
        <v>102.78</v>
      </c>
      <c r="T250" s="2">
        <v>55</v>
      </c>
      <c r="U250" s="4">
        <v>9</v>
      </c>
      <c r="V250" s="4">
        <v>1</v>
      </c>
    </row>
    <row r="251" spans="1:22">
      <c r="A251" s="7" t="s">
        <v>241</v>
      </c>
      <c r="B251" s="4" t="s">
        <v>45</v>
      </c>
      <c r="C251" s="4">
        <v>63</v>
      </c>
      <c r="D251" s="9" t="s">
        <v>28</v>
      </c>
      <c r="E251" s="4" t="s">
        <v>24</v>
      </c>
      <c r="F251" s="4" t="s">
        <v>31</v>
      </c>
      <c r="G251" s="2" t="s">
        <v>32</v>
      </c>
      <c r="H251" s="4">
        <v>13.49</v>
      </c>
      <c r="I251" s="4">
        <v>25.21</v>
      </c>
      <c r="J251" s="4">
        <v>50.59</v>
      </c>
      <c r="K251" s="4">
        <v>1.01</v>
      </c>
      <c r="L251" s="4"/>
      <c r="M251" s="4" t="e">
        <f t="shared" si="9"/>
        <v>#DIV/0!</v>
      </c>
      <c r="N251" s="4">
        <f t="shared" si="10"/>
        <v>0.266653488831785</v>
      </c>
      <c r="O251" s="4">
        <f t="shared" si="11"/>
        <v>13.3564356435644</v>
      </c>
      <c r="P251" s="4">
        <v>12.5</v>
      </c>
      <c r="Q251" s="4">
        <v>3.7</v>
      </c>
      <c r="R251" s="4">
        <v>6.54</v>
      </c>
      <c r="S251" s="4">
        <v>24.03</v>
      </c>
      <c r="T251" s="4">
        <v>69</v>
      </c>
      <c r="U251" s="4">
        <v>39</v>
      </c>
      <c r="V251" s="4">
        <v>1</v>
      </c>
    </row>
    <row r="252" spans="1:22">
      <c r="A252" s="7" t="s">
        <v>241</v>
      </c>
      <c r="B252" s="4" t="s">
        <v>45</v>
      </c>
      <c r="C252" s="4">
        <v>63</v>
      </c>
      <c r="D252" s="9" t="s">
        <v>28</v>
      </c>
      <c r="E252" s="4" t="s">
        <v>24</v>
      </c>
      <c r="F252" s="4" t="s">
        <v>31</v>
      </c>
      <c r="G252" s="2" t="s">
        <v>33</v>
      </c>
      <c r="H252" s="4">
        <v>23.28</v>
      </c>
      <c r="I252" s="4">
        <v>31.82</v>
      </c>
      <c r="J252" s="4">
        <v>40.67</v>
      </c>
      <c r="K252" s="4">
        <v>1.04</v>
      </c>
      <c r="L252" s="4"/>
      <c r="M252" s="4" t="e">
        <f t="shared" si="9"/>
        <v>#DIV/0!</v>
      </c>
      <c r="N252" s="4">
        <f t="shared" si="10"/>
        <v>0.572412097369068</v>
      </c>
      <c r="O252" s="4">
        <f t="shared" si="11"/>
        <v>22.3846153846154</v>
      </c>
      <c r="P252" s="4">
        <v>10.6</v>
      </c>
      <c r="Q252" s="4">
        <v>3.05</v>
      </c>
      <c r="R252" s="4">
        <v>9.65</v>
      </c>
      <c r="S252" s="4">
        <v>34.86</v>
      </c>
      <c r="T252" s="4">
        <v>78</v>
      </c>
      <c r="U252" s="4">
        <v>39</v>
      </c>
      <c r="V252" s="4">
        <v>1</v>
      </c>
    </row>
    <row r="253" spans="1:22">
      <c r="A253" s="1" t="s">
        <v>242</v>
      </c>
      <c r="B253" s="2" t="s">
        <v>41</v>
      </c>
      <c r="C253" s="2">
        <v>60</v>
      </c>
      <c r="D253" s="9" t="s">
        <v>28</v>
      </c>
      <c r="E253" s="4" t="s">
        <v>29</v>
      </c>
      <c r="F253" s="4" t="s">
        <v>29</v>
      </c>
      <c r="G253" s="4" t="s">
        <v>29</v>
      </c>
      <c r="H253" s="2">
        <v>23.7</v>
      </c>
      <c r="I253" s="2">
        <v>27.59</v>
      </c>
      <c r="J253" s="2">
        <v>16.07</v>
      </c>
      <c r="K253" s="2">
        <v>1.68</v>
      </c>
      <c r="L253" s="2">
        <v>37</v>
      </c>
      <c r="M253" s="4">
        <f t="shared" si="9"/>
        <v>64.054054054054</v>
      </c>
      <c r="N253" s="4">
        <f t="shared" si="10"/>
        <v>1.47479775980087</v>
      </c>
      <c r="O253" s="4">
        <f t="shared" si="11"/>
        <v>14.1071428571429</v>
      </c>
      <c r="P253" s="2">
        <v>21.5</v>
      </c>
      <c r="Q253" s="2">
        <v>2.31</v>
      </c>
      <c r="R253" s="2">
        <v>20</v>
      </c>
      <c r="S253" s="2">
        <v>106.3</v>
      </c>
      <c r="T253" s="2">
        <v>19</v>
      </c>
      <c r="U253" s="4">
        <v>47</v>
      </c>
      <c r="V253" s="4">
        <v>1</v>
      </c>
    </row>
    <row r="254" spans="1:22">
      <c r="A254" s="1" t="s">
        <v>242</v>
      </c>
      <c r="B254" s="2" t="s">
        <v>41</v>
      </c>
      <c r="C254" s="2">
        <v>60</v>
      </c>
      <c r="D254" s="9" t="s">
        <v>28</v>
      </c>
      <c r="E254" s="4" t="s">
        <v>24</v>
      </c>
      <c r="F254" s="4" t="s">
        <v>31</v>
      </c>
      <c r="G254" s="2" t="s">
        <v>32</v>
      </c>
      <c r="H254" s="2">
        <v>6.51</v>
      </c>
      <c r="I254" s="2">
        <v>16.26</v>
      </c>
      <c r="J254" s="2">
        <v>10.24</v>
      </c>
      <c r="K254" s="2">
        <v>0.62</v>
      </c>
      <c r="L254" s="2">
        <v>84</v>
      </c>
      <c r="M254" s="4">
        <f t="shared" si="9"/>
        <v>7.75</v>
      </c>
      <c r="N254" s="4">
        <f t="shared" si="10"/>
        <v>0.6357421875</v>
      </c>
      <c r="O254" s="4">
        <f t="shared" si="11"/>
        <v>10.5</v>
      </c>
      <c r="P254" s="2">
        <v>15.3</v>
      </c>
      <c r="Q254" s="2">
        <v>3.44</v>
      </c>
      <c r="R254" s="2">
        <v>1.24</v>
      </c>
      <c r="S254" s="2">
        <v>4.12</v>
      </c>
      <c r="T254" s="2">
        <v>54</v>
      </c>
      <c r="U254" s="4">
        <v>47</v>
      </c>
      <c r="V254" s="4">
        <v>1</v>
      </c>
    </row>
    <row r="255" ht="13.9" spans="1:22">
      <c r="A255" s="1" t="s">
        <v>243</v>
      </c>
      <c r="B255" s="2" t="s">
        <v>45</v>
      </c>
      <c r="C255" s="2">
        <v>54</v>
      </c>
      <c r="D255" s="9" t="s">
        <v>61</v>
      </c>
      <c r="E255" s="4" t="s">
        <v>24</v>
      </c>
      <c r="F255" s="4" t="s">
        <v>25</v>
      </c>
      <c r="G255" s="4" t="s">
        <v>25</v>
      </c>
      <c r="H255" s="2">
        <v>42.52</v>
      </c>
      <c r="I255" s="2">
        <v>18.25</v>
      </c>
      <c r="J255" s="2">
        <v>12.18</v>
      </c>
      <c r="K255" s="2">
        <v>5</v>
      </c>
      <c r="L255" s="2">
        <v>59</v>
      </c>
      <c r="M255" s="4">
        <f t="shared" si="9"/>
        <v>72.0677966101695</v>
      </c>
      <c r="N255" s="4">
        <f t="shared" si="10"/>
        <v>3.49096880131363</v>
      </c>
      <c r="O255" s="4">
        <f t="shared" si="11"/>
        <v>8.504</v>
      </c>
      <c r="P255" s="2">
        <v>16.9</v>
      </c>
      <c r="Q255" s="2">
        <v>1.92</v>
      </c>
      <c r="R255" s="2">
        <v>20</v>
      </c>
      <c r="S255" s="2">
        <v>150</v>
      </c>
      <c r="T255" s="2">
        <v>81</v>
      </c>
      <c r="U255" s="4">
        <v>47</v>
      </c>
      <c r="V255" s="4">
        <v>1</v>
      </c>
    </row>
    <row r="256" spans="1:22">
      <c r="A256" s="7" t="s">
        <v>244</v>
      </c>
      <c r="B256" s="4" t="s">
        <v>41</v>
      </c>
      <c r="C256" s="4">
        <v>69</v>
      </c>
      <c r="D256" s="9" t="s">
        <v>42</v>
      </c>
      <c r="E256" s="4" t="s">
        <v>29</v>
      </c>
      <c r="F256" s="4" t="s">
        <v>29</v>
      </c>
      <c r="G256" s="4" t="s">
        <v>29</v>
      </c>
      <c r="H256" s="4">
        <v>24.44</v>
      </c>
      <c r="I256" s="4">
        <v>53.21</v>
      </c>
      <c r="J256" s="4">
        <v>30.56</v>
      </c>
      <c r="K256" s="4">
        <v>1.53</v>
      </c>
      <c r="L256" s="4">
        <v>45</v>
      </c>
      <c r="M256" s="4">
        <f t="shared" si="9"/>
        <v>54.3111111111111</v>
      </c>
      <c r="N256" s="4">
        <f t="shared" si="10"/>
        <v>0.799738219895288</v>
      </c>
      <c r="O256" s="4">
        <f t="shared" si="11"/>
        <v>15.9738562091503</v>
      </c>
      <c r="P256" s="4">
        <v>14.3</v>
      </c>
      <c r="Q256" s="4">
        <v>1.85</v>
      </c>
      <c r="R256" s="4">
        <v>18.42</v>
      </c>
      <c r="S256" s="4">
        <v>115.3</v>
      </c>
      <c r="T256" s="4">
        <v>14</v>
      </c>
      <c r="U256" s="4">
        <v>35</v>
      </c>
      <c r="V256" s="4">
        <v>0</v>
      </c>
    </row>
    <row r="257" spans="1:22">
      <c r="A257" s="7" t="s">
        <v>244</v>
      </c>
      <c r="B257" s="4" t="s">
        <v>41</v>
      </c>
      <c r="C257" s="4">
        <v>69</v>
      </c>
      <c r="D257" s="9" t="s">
        <v>42</v>
      </c>
      <c r="E257" s="4" t="s">
        <v>24</v>
      </c>
      <c r="F257" s="4" t="s">
        <v>25</v>
      </c>
      <c r="G257" s="4" t="s">
        <v>25</v>
      </c>
      <c r="H257" s="4">
        <v>1.71</v>
      </c>
      <c r="I257" s="4">
        <v>19.65</v>
      </c>
      <c r="J257" s="4">
        <v>6.11</v>
      </c>
      <c r="K257" s="4">
        <v>1.25</v>
      </c>
      <c r="L257" s="4"/>
      <c r="M257" s="4" t="e">
        <f t="shared" si="9"/>
        <v>#DIV/0!</v>
      </c>
      <c r="N257" s="4">
        <f t="shared" si="10"/>
        <v>0.27986906710311</v>
      </c>
      <c r="O257" s="4">
        <f t="shared" si="11"/>
        <v>1.368</v>
      </c>
      <c r="P257" s="4">
        <v>11</v>
      </c>
      <c r="Q257" s="4">
        <v>4.06</v>
      </c>
      <c r="R257" s="4">
        <v>2.68</v>
      </c>
      <c r="S257" s="4">
        <v>10.02</v>
      </c>
      <c r="T257" s="4">
        <v>126</v>
      </c>
      <c r="U257" s="4">
        <v>35</v>
      </c>
      <c r="V257" s="4">
        <v>0</v>
      </c>
    </row>
    <row r="258" spans="1:22">
      <c r="A258" s="7" t="s">
        <v>245</v>
      </c>
      <c r="B258" s="4" t="s">
        <v>41</v>
      </c>
      <c r="C258" s="4">
        <v>69</v>
      </c>
      <c r="D258" s="9" t="s">
        <v>42</v>
      </c>
      <c r="E258" s="4" t="s">
        <v>29</v>
      </c>
      <c r="F258" s="4" t="s">
        <v>29</v>
      </c>
      <c r="G258" s="4" t="s">
        <v>29</v>
      </c>
      <c r="H258" s="4">
        <v>9.99</v>
      </c>
      <c r="I258" s="4">
        <v>44.47</v>
      </c>
      <c r="J258" s="4">
        <v>29.29</v>
      </c>
      <c r="K258" s="4">
        <v>0.65</v>
      </c>
      <c r="L258" s="4">
        <v>61</v>
      </c>
      <c r="M258" s="4">
        <f t="shared" si="9"/>
        <v>16.3770491803279</v>
      </c>
      <c r="N258" s="4">
        <f t="shared" si="10"/>
        <v>0.341072038238307</v>
      </c>
      <c r="O258" s="4">
        <f t="shared" si="11"/>
        <v>15.3692307692308</v>
      </c>
      <c r="P258" s="4">
        <v>11.8</v>
      </c>
      <c r="Q258" s="4">
        <v>2.16</v>
      </c>
      <c r="R258" s="4">
        <v>3.1</v>
      </c>
      <c r="S258" s="4"/>
      <c r="T258" s="4">
        <v>6</v>
      </c>
      <c r="U258" s="4">
        <v>15</v>
      </c>
      <c r="V258" s="4">
        <v>1</v>
      </c>
    </row>
    <row r="259" spans="1:22">
      <c r="A259" s="7" t="s">
        <v>245</v>
      </c>
      <c r="B259" s="4" t="s">
        <v>41</v>
      </c>
      <c r="C259" s="4">
        <v>69</v>
      </c>
      <c r="D259" s="9" t="s">
        <v>42</v>
      </c>
      <c r="E259" s="4" t="s">
        <v>29</v>
      </c>
      <c r="F259" s="4" t="s">
        <v>29</v>
      </c>
      <c r="G259" s="4" t="s">
        <v>29</v>
      </c>
      <c r="H259" s="4">
        <v>32.34</v>
      </c>
      <c r="I259" s="4">
        <v>32.02</v>
      </c>
      <c r="J259" s="4">
        <v>26.17</v>
      </c>
      <c r="K259" s="4">
        <v>3.02</v>
      </c>
      <c r="L259" s="4">
        <v>69</v>
      </c>
      <c r="M259" s="4">
        <f t="shared" ref="M259:M283" si="12">100*H259/L259</f>
        <v>46.8695652173913</v>
      </c>
      <c r="N259" s="4">
        <f t="shared" ref="N259:N283" si="13">H259/J259</f>
        <v>1.2357661444402</v>
      </c>
      <c r="O259" s="4">
        <f t="shared" ref="O259:O283" si="14">H259/K259</f>
        <v>10.7086092715232</v>
      </c>
      <c r="P259" s="4">
        <v>19.4</v>
      </c>
      <c r="Q259" s="4">
        <v>1.13</v>
      </c>
      <c r="R259" s="4">
        <v>19.91</v>
      </c>
      <c r="S259" s="4">
        <v>66.94</v>
      </c>
      <c r="T259" s="4">
        <v>63</v>
      </c>
      <c r="U259" s="4">
        <v>15</v>
      </c>
      <c r="V259" s="4">
        <v>1</v>
      </c>
    </row>
    <row r="260" spans="1:22">
      <c r="A260" s="7" t="s">
        <v>245</v>
      </c>
      <c r="B260" s="4" t="s">
        <v>41</v>
      </c>
      <c r="C260" s="4">
        <v>69</v>
      </c>
      <c r="D260" s="9" t="s">
        <v>42</v>
      </c>
      <c r="E260" s="4" t="s">
        <v>29</v>
      </c>
      <c r="F260" s="4" t="s">
        <v>29</v>
      </c>
      <c r="G260" s="4" t="s">
        <v>29</v>
      </c>
      <c r="H260" s="4">
        <v>6.08</v>
      </c>
      <c r="I260" s="4">
        <v>43.79</v>
      </c>
      <c r="J260" s="4">
        <v>24.65</v>
      </c>
      <c r="K260" s="4">
        <v>0.48</v>
      </c>
      <c r="L260" s="4"/>
      <c r="M260" s="4" t="e">
        <f t="shared" si="12"/>
        <v>#DIV/0!</v>
      </c>
      <c r="N260" s="4">
        <f t="shared" si="13"/>
        <v>0.246653144016227</v>
      </c>
      <c r="O260" s="4">
        <f t="shared" si="14"/>
        <v>12.6666666666667</v>
      </c>
      <c r="P260" s="4">
        <v>14.2</v>
      </c>
      <c r="Q260" s="4">
        <v>2</v>
      </c>
      <c r="R260" s="4">
        <v>3.01</v>
      </c>
      <c r="S260" s="4"/>
      <c r="T260" s="4">
        <v>2</v>
      </c>
      <c r="U260" s="4">
        <v>25</v>
      </c>
      <c r="V260" s="4">
        <v>1</v>
      </c>
    </row>
    <row r="261" spans="1:22">
      <c r="A261" s="7" t="s">
        <v>245</v>
      </c>
      <c r="B261" s="4" t="s">
        <v>41</v>
      </c>
      <c r="C261" s="4">
        <v>69</v>
      </c>
      <c r="D261" s="9" t="s">
        <v>42</v>
      </c>
      <c r="E261" s="4" t="s">
        <v>29</v>
      </c>
      <c r="F261" s="4" t="s">
        <v>29</v>
      </c>
      <c r="G261" s="4" t="s">
        <v>29</v>
      </c>
      <c r="H261" s="4">
        <v>10.75</v>
      </c>
      <c r="I261" s="4">
        <v>44.7</v>
      </c>
      <c r="J261" s="4">
        <v>51.99</v>
      </c>
      <c r="K261" s="4">
        <v>0.53</v>
      </c>
      <c r="L261" s="4"/>
      <c r="M261" s="4" t="e">
        <f t="shared" si="12"/>
        <v>#DIV/0!</v>
      </c>
      <c r="N261" s="4">
        <f t="shared" si="13"/>
        <v>0.206770532794768</v>
      </c>
      <c r="O261" s="4">
        <f t="shared" si="14"/>
        <v>20.2830188679245</v>
      </c>
      <c r="P261" s="4">
        <v>16.5</v>
      </c>
      <c r="Q261" s="4">
        <v>2.3</v>
      </c>
      <c r="R261" s="4">
        <v>2.82</v>
      </c>
      <c r="S261" s="4"/>
      <c r="T261" s="4">
        <v>19</v>
      </c>
      <c r="U261" s="4">
        <v>15</v>
      </c>
      <c r="V261" s="4">
        <v>1</v>
      </c>
    </row>
    <row r="262" spans="1:22">
      <c r="A262" s="7" t="s">
        <v>245</v>
      </c>
      <c r="B262" s="4" t="s">
        <v>41</v>
      </c>
      <c r="C262" s="4">
        <v>69</v>
      </c>
      <c r="D262" s="9" t="s">
        <v>42</v>
      </c>
      <c r="E262" s="4" t="s">
        <v>24</v>
      </c>
      <c r="F262" s="4" t="s">
        <v>31</v>
      </c>
      <c r="G262" s="2" t="s">
        <v>32</v>
      </c>
      <c r="H262" s="4">
        <v>20.57</v>
      </c>
      <c r="I262" s="4">
        <v>34.02</v>
      </c>
      <c r="J262" s="4">
        <v>33.61</v>
      </c>
      <c r="K262" s="4">
        <v>0.44</v>
      </c>
      <c r="L262" s="4"/>
      <c r="M262" s="4" t="e">
        <f t="shared" si="12"/>
        <v>#DIV/0!</v>
      </c>
      <c r="N262" s="4">
        <f t="shared" si="13"/>
        <v>0.612020232073788</v>
      </c>
      <c r="O262" s="4">
        <f t="shared" si="14"/>
        <v>46.75</v>
      </c>
      <c r="P262" s="4">
        <v>13.2</v>
      </c>
      <c r="Q262" s="4">
        <v>2.21</v>
      </c>
      <c r="R262" s="4">
        <v>2.4</v>
      </c>
      <c r="S262" s="4"/>
      <c r="T262" s="4">
        <v>28</v>
      </c>
      <c r="U262" s="4">
        <v>15</v>
      </c>
      <c r="V262" s="4">
        <v>1</v>
      </c>
    </row>
    <row r="263" spans="1:22">
      <c r="A263" s="7" t="s">
        <v>246</v>
      </c>
      <c r="B263" s="4" t="s">
        <v>41</v>
      </c>
      <c r="C263" s="4">
        <v>67</v>
      </c>
      <c r="D263" s="9" t="s">
        <v>42</v>
      </c>
      <c r="E263" s="4" t="s">
        <v>24</v>
      </c>
      <c r="F263" s="4" t="s">
        <v>31</v>
      </c>
      <c r="G263" s="2" t="s">
        <v>32</v>
      </c>
      <c r="H263" s="4">
        <v>3.74</v>
      </c>
      <c r="I263" s="4">
        <v>28.27</v>
      </c>
      <c r="J263" s="4">
        <v>13.04</v>
      </c>
      <c r="K263" s="4">
        <v>0.69</v>
      </c>
      <c r="L263" s="4">
        <v>88</v>
      </c>
      <c r="M263" s="4">
        <f t="shared" si="12"/>
        <v>4.25</v>
      </c>
      <c r="N263" s="4">
        <f t="shared" si="13"/>
        <v>0.28680981595092</v>
      </c>
      <c r="O263" s="4">
        <f t="shared" si="14"/>
        <v>5.42028985507246</v>
      </c>
      <c r="P263" s="4">
        <v>15.4</v>
      </c>
      <c r="Q263" s="4">
        <v>5.41</v>
      </c>
      <c r="R263" s="4">
        <v>2</v>
      </c>
      <c r="S263" s="4">
        <v>7.91</v>
      </c>
      <c r="T263" s="4">
        <v>89</v>
      </c>
      <c r="U263" s="4">
        <v>84</v>
      </c>
      <c r="V263" s="4">
        <v>0</v>
      </c>
    </row>
    <row r="264" spans="1:22">
      <c r="A264" s="7" t="s">
        <v>247</v>
      </c>
      <c r="B264" s="4" t="s">
        <v>41</v>
      </c>
      <c r="C264" s="4">
        <v>71</v>
      </c>
      <c r="D264" s="9" t="s">
        <v>42</v>
      </c>
      <c r="E264" s="4" t="s">
        <v>24</v>
      </c>
      <c r="F264" s="4" t="s">
        <v>25</v>
      </c>
      <c r="G264" s="4" t="s">
        <v>25</v>
      </c>
      <c r="H264" s="4">
        <v>2.83</v>
      </c>
      <c r="I264" s="4">
        <v>19.38</v>
      </c>
      <c r="J264" s="4">
        <v>10.44</v>
      </c>
      <c r="K264" s="4">
        <v>1.04</v>
      </c>
      <c r="L264" s="4">
        <v>88</v>
      </c>
      <c r="M264" s="4">
        <f t="shared" si="12"/>
        <v>3.21590909090909</v>
      </c>
      <c r="N264" s="4">
        <f t="shared" si="13"/>
        <v>0.271072796934866</v>
      </c>
      <c r="O264" s="4">
        <f t="shared" si="14"/>
        <v>2.72115384615385</v>
      </c>
      <c r="P264" s="4">
        <v>14.7</v>
      </c>
      <c r="Q264" s="4">
        <v>8.87</v>
      </c>
      <c r="R264" s="4">
        <v>3.29</v>
      </c>
      <c r="S264" s="4">
        <v>11.42</v>
      </c>
      <c r="T264" s="4">
        <v>260</v>
      </c>
      <c r="U264" s="4">
        <v>84</v>
      </c>
      <c r="V264" s="4">
        <v>0</v>
      </c>
    </row>
    <row r="265" spans="1:22">
      <c r="A265" s="7" t="s">
        <v>248</v>
      </c>
      <c r="B265" s="4" t="s">
        <v>41</v>
      </c>
      <c r="C265" s="4">
        <v>67</v>
      </c>
      <c r="D265" s="9" t="s">
        <v>36</v>
      </c>
      <c r="E265" s="4" t="s">
        <v>24</v>
      </c>
      <c r="F265" s="4" t="s">
        <v>25</v>
      </c>
      <c r="G265" s="4" t="s">
        <v>25</v>
      </c>
      <c r="H265" s="4">
        <v>3.32</v>
      </c>
      <c r="I265" s="4">
        <v>14.16</v>
      </c>
      <c r="J265" s="4">
        <v>8.52</v>
      </c>
      <c r="K265" s="4">
        <v>1.61</v>
      </c>
      <c r="L265" s="4"/>
      <c r="M265" s="4" t="e">
        <f t="shared" si="12"/>
        <v>#DIV/0!</v>
      </c>
      <c r="N265" s="4">
        <f t="shared" si="13"/>
        <v>0.389671361502347</v>
      </c>
      <c r="O265" s="4">
        <f t="shared" si="14"/>
        <v>2.06211180124224</v>
      </c>
      <c r="P265" s="4">
        <v>13.5</v>
      </c>
      <c r="Q265" s="4">
        <v>6.01</v>
      </c>
      <c r="R265" s="4">
        <v>7.92</v>
      </c>
      <c r="S265" s="4">
        <v>25.75</v>
      </c>
      <c r="T265" s="4">
        <v>298</v>
      </c>
      <c r="U265" s="4">
        <v>27</v>
      </c>
      <c r="V265" s="4">
        <v>1</v>
      </c>
    </row>
    <row r="266" spans="1:22">
      <c r="A266" s="7" t="s">
        <v>249</v>
      </c>
      <c r="B266" s="4" t="s">
        <v>45</v>
      </c>
      <c r="C266" s="4">
        <v>73</v>
      </c>
      <c r="D266" s="9" t="s">
        <v>28</v>
      </c>
      <c r="E266" s="4" t="s">
        <v>24</v>
      </c>
      <c r="F266" s="4" t="s">
        <v>25</v>
      </c>
      <c r="G266" s="4" t="s">
        <v>25</v>
      </c>
      <c r="H266" s="4">
        <v>7.68</v>
      </c>
      <c r="I266" s="4">
        <v>12.98</v>
      </c>
      <c r="J266" s="4">
        <v>3.97</v>
      </c>
      <c r="K266" s="4">
        <v>0.98</v>
      </c>
      <c r="L266" s="4">
        <v>58</v>
      </c>
      <c r="M266" s="4">
        <f t="shared" si="12"/>
        <v>13.2413793103448</v>
      </c>
      <c r="N266" s="4">
        <f t="shared" si="13"/>
        <v>1.93450881612091</v>
      </c>
      <c r="O266" s="4">
        <f t="shared" si="14"/>
        <v>7.83673469387755</v>
      </c>
      <c r="P266" s="4">
        <v>15.6</v>
      </c>
      <c r="Q266" s="4">
        <v>4.16</v>
      </c>
      <c r="R266" s="4">
        <v>3.29</v>
      </c>
      <c r="S266" s="4">
        <v>13.83</v>
      </c>
      <c r="T266" s="4">
        <v>189</v>
      </c>
      <c r="U266" s="4">
        <v>27</v>
      </c>
      <c r="V266" s="4">
        <v>0</v>
      </c>
    </row>
    <row r="267" spans="1:22">
      <c r="A267" s="7" t="s">
        <v>250</v>
      </c>
      <c r="B267" s="4" t="s">
        <v>45</v>
      </c>
      <c r="C267" s="4">
        <v>43</v>
      </c>
      <c r="D267" s="9" t="s">
        <v>42</v>
      </c>
      <c r="E267" s="4" t="s">
        <v>24</v>
      </c>
      <c r="F267" s="4" t="s">
        <v>25</v>
      </c>
      <c r="G267" s="4" t="s">
        <v>25</v>
      </c>
      <c r="H267" s="4">
        <v>7.73</v>
      </c>
      <c r="I267" s="4">
        <v>16.79</v>
      </c>
      <c r="J267" s="4">
        <v>4.87</v>
      </c>
      <c r="K267" s="4">
        <v>1.23</v>
      </c>
      <c r="L267" s="4">
        <v>97</v>
      </c>
      <c r="M267" s="4">
        <f t="shared" si="12"/>
        <v>7.96907216494845</v>
      </c>
      <c r="N267" s="4">
        <f t="shared" si="13"/>
        <v>1.58726899383984</v>
      </c>
      <c r="O267" s="4">
        <f t="shared" si="14"/>
        <v>6.28455284552846</v>
      </c>
      <c r="P267" s="4">
        <v>13.8</v>
      </c>
      <c r="Q267" s="4">
        <v>4.34</v>
      </c>
      <c r="R267" s="4">
        <v>1.94</v>
      </c>
      <c r="S267" s="4">
        <v>6.41</v>
      </c>
      <c r="T267" s="4">
        <v>254</v>
      </c>
      <c r="U267" s="4">
        <v>20</v>
      </c>
      <c r="V267" s="4">
        <v>0</v>
      </c>
    </row>
    <row r="268" spans="1:22">
      <c r="A268" s="7" t="s">
        <v>251</v>
      </c>
      <c r="B268" s="4" t="s">
        <v>41</v>
      </c>
      <c r="C268" s="4">
        <v>60</v>
      </c>
      <c r="D268" s="9" t="s">
        <v>42</v>
      </c>
      <c r="E268" s="4" t="s">
        <v>24</v>
      </c>
      <c r="F268" s="4" t="s">
        <v>25</v>
      </c>
      <c r="G268" s="4" t="s">
        <v>25</v>
      </c>
      <c r="H268" s="4">
        <v>7.48</v>
      </c>
      <c r="I268" s="4">
        <v>16.94</v>
      </c>
      <c r="J268" s="4">
        <v>8.73</v>
      </c>
      <c r="K268" s="4">
        <v>1.44</v>
      </c>
      <c r="L268" s="4">
        <v>93</v>
      </c>
      <c r="M268" s="4">
        <f t="shared" si="12"/>
        <v>8.04301075268817</v>
      </c>
      <c r="N268" s="4">
        <f t="shared" si="13"/>
        <v>0.856815578465063</v>
      </c>
      <c r="O268" s="4">
        <f t="shared" si="14"/>
        <v>5.19444444444444</v>
      </c>
      <c r="P268" s="4">
        <v>14.9</v>
      </c>
      <c r="Q268" s="4">
        <v>4.7</v>
      </c>
      <c r="R268" s="4">
        <v>2.34</v>
      </c>
      <c r="S268" s="4">
        <v>8.6</v>
      </c>
      <c r="T268" s="4">
        <v>93</v>
      </c>
      <c r="U268" s="4">
        <v>79</v>
      </c>
      <c r="V268" s="4">
        <v>1</v>
      </c>
    </row>
    <row r="269" spans="1:22">
      <c r="A269" s="7" t="s">
        <v>252</v>
      </c>
      <c r="B269" s="4" t="s">
        <v>45</v>
      </c>
      <c r="C269" s="4">
        <v>69</v>
      </c>
      <c r="D269" s="9" t="s">
        <v>28</v>
      </c>
      <c r="E269" s="4" t="s">
        <v>24</v>
      </c>
      <c r="F269" s="4" t="s">
        <v>25</v>
      </c>
      <c r="G269" s="4" t="s">
        <v>25</v>
      </c>
      <c r="H269" s="4">
        <v>8.46</v>
      </c>
      <c r="I269" s="4">
        <v>8.22</v>
      </c>
      <c r="J269" s="4">
        <v>14.48</v>
      </c>
      <c r="K269" s="4">
        <v>3.04</v>
      </c>
      <c r="L269" s="4">
        <v>84</v>
      </c>
      <c r="M269" s="4">
        <f t="shared" si="12"/>
        <v>10.0714285714286</v>
      </c>
      <c r="N269" s="4">
        <f t="shared" si="13"/>
        <v>0.584254143646409</v>
      </c>
      <c r="O269" s="4">
        <f t="shared" si="14"/>
        <v>2.78289473684211</v>
      </c>
      <c r="P269" s="4">
        <v>13.7</v>
      </c>
      <c r="Q269" s="4">
        <v>3.86</v>
      </c>
      <c r="R269" s="4">
        <v>6.75</v>
      </c>
      <c r="S269" s="4">
        <v>30.01</v>
      </c>
      <c r="T269" s="4">
        <v>131</v>
      </c>
      <c r="U269" s="4">
        <v>8</v>
      </c>
      <c r="V269" s="4">
        <v>1</v>
      </c>
    </row>
    <row r="270" ht="13.9" spans="1:22">
      <c r="A270" s="7" t="s">
        <v>253</v>
      </c>
      <c r="B270" s="4" t="s">
        <v>41</v>
      </c>
      <c r="C270" s="4">
        <v>49</v>
      </c>
      <c r="D270" s="9" t="s">
        <v>61</v>
      </c>
      <c r="E270" s="4" t="s">
        <v>24</v>
      </c>
      <c r="F270" s="4" t="s">
        <v>25</v>
      </c>
      <c r="G270" s="4" t="s">
        <v>25</v>
      </c>
      <c r="H270" s="4">
        <v>10.25</v>
      </c>
      <c r="I270" s="4">
        <v>12.54</v>
      </c>
      <c r="J270" s="4">
        <v>13.49</v>
      </c>
      <c r="K270" s="4">
        <v>1.59</v>
      </c>
      <c r="L270" s="4">
        <v>92</v>
      </c>
      <c r="M270" s="4">
        <f t="shared" si="12"/>
        <v>11.1413043478261</v>
      </c>
      <c r="N270" s="4">
        <f t="shared" si="13"/>
        <v>0.759822090437361</v>
      </c>
      <c r="O270" s="4">
        <f t="shared" si="14"/>
        <v>6.44654088050314</v>
      </c>
      <c r="P270" s="4">
        <v>13.9</v>
      </c>
      <c r="Q270" s="4">
        <v>6.81</v>
      </c>
      <c r="R270" s="4">
        <v>6.07</v>
      </c>
      <c r="S270" s="4">
        <v>24.8</v>
      </c>
      <c r="T270" s="4">
        <v>67</v>
      </c>
      <c r="U270" s="4">
        <v>12</v>
      </c>
      <c r="V270" s="4">
        <v>0</v>
      </c>
    </row>
    <row r="271" spans="1:22">
      <c r="A271" s="1" t="s">
        <v>254</v>
      </c>
      <c r="B271" s="2" t="s">
        <v>41</v>
      </c>
      <c r="C271" s="2">
        <v>47</v>
      </c>
      <c r="D271" s="9" t="s">
        <v>42</v>
      </c>
      <c r="E271" s="4" t="s">
        <v>24</v>
      </c>
      <c r="F271" s="4" t="s">
        <v>25</v>
      </c>
      <c r="G271" s="4" t="s">
        <v>25</v>
      </c>
      <c r="H271" s="2">
        <v>3.13</v>
      </c>
      <c r="I271" s="2">
        <v>33.11</v>
      </c>
      <c r="J271" s="2">
        <v>9.55</v>
      </c>
      <c r="K271" s="2">
        <v>0.9</v>
      </c>
      <c r="L271" s="2">
        <v>95</v>
      </c>
      <c r="M271" s="4">
        <f t="shared" si="12"/>
        <v>3.29473684210526</v>
      </c>
      <c r="N271" s="4">
        <f t="shared" si="13"/>
        <v>0.327748691099476</v>
      </c>
      <c r="O271" s="4">
        <f t="shared" si="14"/>
        <v>3.47777777777778</v>
      </c>
      <c r="P271" s="2">
        <v>13.2</v>
      </c>
      <c r="Q271" s="2">
        <v>3.68</v>
      </c>
      <c r="R271" s="2">
        <v>2.62</v>
      </c>
      <c r="S271" s="2">
        <v>19.97</v>
      </c>
      <c r="T271" s="2">
        <v>61</v>
      </c>
      <c r="U271" s="4">
        <v>34</v>
      </c>
      <c r="V271" s="4">
        <v>0</v>
      </c>
    </row>
    <row r="272" spans="1:22">
      <c r="A272" s="7" t="s">
        <v>255</v>
      </c>
      <c r="B272" s="4" t="s">
        <v>41</v>
      </c>
      <c r="C272" s="4">
        <v>53</v>
      </c>
      <c r="D272" s="9" t="s">
        <v>42</v>
      </c>
      <c r="E272" s="4" t="s">
        <v>24</v>
      </c>
      <c r="F272" s="4" t="s">
        <v>31</v>
      </c>
      <c r="G272" s="2" t="s">
        <v>32</v>
      </c>
      <c r="H272" s="4">
        <v>9.96</v>
      </c>
      <c r="I272" s="4">
        <v>25.87</v>
      </c>
      <c r="J272" s="4">
        <v>7.88</v>
      </c>
      <c r="K272" s="4">
        <v>3.07</v>
      </c>
      <c r="L272" s="4">
        <v>82</v>
      </c>
      <c r="M272" s="4">
        <f t="shared" si="12"/>
        <v>12.1463414634146</v>
      </c>
      <c r="N272" s="4">
        <f t="shared" si="13"/>
        <v>1.26395939086294</v>
      </c>
      <c r="O272" s="4">
        <f t="shared" si="14"/>
        <v>3.2442996742671</v>
      </c>
      <c r="P272" s="4">
        <v>11</v>
      </c>
      <c r="Q272" s="4">
        <v>4.31</v>
      </c>
      <c r="R272" s="4">
        <v>21.13</v>
      </c>
      <c r="S272" s="4"/>
      <c r="T272" s="4">
        <v>74</v>
      </c>
      <c r="U272" s="4">
        <v>25</v>
      </c>
      <c r="V272" s="4">
        <v>0</v>
      </c>
    </row>
    <row r="273" spans="1:22">
      <c r="A273" s="7" t="s">
        <v>256</v>
      </c>
      <c r="B273" s="4" t="s">
        <v>45</v>
      </c>
      <c r="C273" s="4">
        <v>38</v>
      </c>
      <c r="D273" s="9" t="s">
        <v>42</v>
      </c>
      <c r="E273" s="4" t="s">
        <v>29</v>
      </c>
      <c r="F273" s="4" t="s">
        <v>29</v>
      </c>
      <c r="G273" s="4" t="s">
        <v>29</v>
      </c>
      <c r="H273" s="4">
        <v>13.34</v>
      </c>
      <c r="I273" s="4">
        <v>8.91</v>
      </c>
      <c r="J273" s="4">
        <v>15.97</v>
      </c>
      <c r="K273" s="4">
        <v>1.27</v>
      </c>
      <c r="L273" s="4"/>
      <c r="M273" s="4" t="e">
        <f t="shared" si="12"/>
        <v>#DIV/0!</v>
      </c>
      <c r="N273" s="4">
        <f t="shared" si="13"/>
        <v>0.835316217908579</v>
      </c>
      <c r="O273" s="4">
        <f t="shared" si="14"/>
        <v>10.503937007874</v>
      </c>
      <c r="P273" s="4">
        <v>11</v>
      </c>
      <c r="Q273" s="4">
        <v>7.7</v>
      </c>
      <c r="R273" s="4">
        <v>10.17</v>
      </c>
      <c r="S273" s="4">
        <v>30.3</v>
      </c>
      <c r="T273" s="4">
        <v>45</v>
      </c>
      <c r="U273" s="4">
        <v>56</v>
      </c>
      <c r="V273" s="4">
        <v>1</v>
      </c>
    </row>
    <row r="274" spans="1:22">
      <c r="A274" s="7" t="s">
        <v>256</v>
      </c>
      <c r="B274" s="4" t="s">
        <v>45</v>
      </c>
      <c r="C274" s="4">
        <v>38</v>
      </c>
      <c r="D274" s="9" t="s">
        <v>42</v>
      </c>
      <c r="E274" s="4" t="s">
        <v>24</v>
      </c>
      <c r="F274" s="4" t="s">
        <v>25</v>
      </c>
      <c r="G274" s="4" t="s">
        <v>25</v>
      </c>
      <c r="H274" s="4">
        <v>6.57</v>
      </c>
      <c r="I274" s="4">
        <v>10.54</v>
      </c>
      <c r="J274" s="4">
        <v>17.31</v>
      </c>
      <c r="K274" s="4">
        <v>1.66</v>
      </c>
      <c r="L274" s="4"/>
      <c r="M274" s="4" t="e">
        <f t="shared" si="12"/>
        <v>#DIV/0!</v>
      </c>
      <c r="N274" s="4">
        <f t="shared" si="13"/>
        <v>0.379549393414211</v>
      </c>
      <c r="O274" s="4">
        <f t="shared" si="14"/>
        <v>3.9578313253012</v>
      </c>
      <c r="P274" s="4">
        <v>10.7</v>
      </c>
      <c r="Q274" s="4">
        <v>3.58</v>
      </c>
      <c r="R274" s="4">
        <v>7.7</v>
      </c>
      <c r="S274" s="4">
        <v>22.51</v>
      </c>
      <c r="T274" s="4">
        <v>90</v>
      </c>
      <c r="U274" s="4">
        <v>56</v>
      </c>
      <c r="V274" s="4">
        <v>1</v>
      </c>
    </row>
    <row r="275" spans="1:22">
      <c r="A275" s="7" t="s">
        <v>257</v>
      </c>
      <c r="B275" s="4" t="s">
        <v>41</v>
      </c>
      <c r="C275" s="4">
        <v>79</v>
      </c>
      <c r="D275" s="9" t="s">
        <v>42</v>
      </c>
      <c r="E275" s="4" t="s">
        <v>29</v>
      </c>
      <c r="F275" s="4" t="s">
        <v>29</v>
      </c>
      <c r="G275" s="4" t="s">
        <v>29</v>
      </c>
      <c r="H275" s="4">
        <v>57.32</v>
      </c>
      <c r="I275" s="4">
        <v>26.84</v>
      </c>
      <c r="J275" s="4">
        <v>16</v>
      </c>
      <c r="K275" s="4">
        <v>0.93</v>
      </c>
      <c r="L275" s="4"/>
      <c r="M275" s="4" t="e">
        <f t="shared" si="12"/>
        <v>#DIV/0!</v>
      </c>
      <c r="N275" s="4">
        <f t="shared" si="13"/>
        <v>3.5825</v>
      </c>
      <c r="O275" s="4">
        <f t="shared" si="14"/>
        <v>61.6344086021505</v>
      </c>
      <c r="P275" s="4">
        <v>21.2</v>
      </c>
      <c r="Q275" s="4">
        <v>2.76</v>
      </c>
      <c r="R275" s="4">
        <v>3.82</v>
      </c>
      <c r="S275" s="4">
        <v>17.62</v>
      </c>
      <c r="T275" s="4">
        <v>33</v>
      </c>
      <c r="U275" s="4">
        <v>27</v>
      </c>
      <c r="V275" s="4">
        <v>1</v>
      </c>
    </row>
    <row r="276" spans="1:22">
      <c r="A276" s="1" t="s">
        <v>258</v>
      </c>
      <c r="B276" s="2" t="s">
        <v>41</v>
      </c>
      <c r="C276" s="2">
        <v>70</v>
      </c>
      <c r="D276" s="9" t="s">
        <v>28</v>
      </c>
      <c r="E276" s="4" t="s">
        <v>24</v>
      </c>
      <c r="F276" s="4" t="s">
        <v>31</v>
      </c>
      <c r="G276" s="2" t="s">
        <v>32</v>
      </c>
      <c r="H276" s="2">
        <v>26.9</v>
      </c>
      <c r="I276" s="2">
        <v>9.89</v>
      </c>
      <c r="J276" s="2">
        <v>42.83</v>
      </c>
      <c r="K276" s="2">
        <v>0.22</v>
      </c>
      <c r="L276" s="2">
        <v>47</v>
      </c>
      <c r="M276" s="4">
        <f t="shared" si="12"/>
        <v>57.2340425531915</v>
      </c>
      <c r="N276" s="4">
        <f t="shared" si="13"/>
        <v>0.628064440812515</v>
      </c>
      <c r="O276" s="4">
        <f t="shared" si="14"/>
        <v>122.272727272727</v>
      </c>
      <c r="P276" s="2">
        <v>21.2</v>
      </c>
      <c r="Q276" s="2">
        <v>1.26</v>
      </c>
      <c r="R276" s="2">
        <v>0.79</v>
      </c>
      <c r="S276" s="2">
        <v>1.96</v>
      </c>
      <c r="T276" s="2">
        <v>108</v>
      </c>
      <c r="U276" s="4">
        <v>50</v>
      </c>
      <c r="V276" s="4">
        <v>0</v>
      </c>
    </row>
    <row r="277" spans="1:22">
      <c r="A277" s="7" t="s">
        <v>259</v>
      </c>
      <c r="B277" s="4" t="s">
        <v>45</v>
      </c>
      <c r="C277" s="4">
        <v>76</v>
      </c>
      <c r="D277" s="9" t="s">
        <v>42</v>
      </c>
      <c r="E277" s="4" t="s">
        <v>24</v>
      </c>
      <c r="F277" s="4" t="s">
        <v>25</v>
      </c>
      <c r="G277" s="4" t="s">
        <v>25</v>
      </c>
      <c r="H277" s="4">
        <v>6.91</v>
      </c>
      <c r="I277" s="4">
        <v>17.41</v>
      </c>
      <c r="J277" s="4">
        <v>5.46</v>
      </c>
      <c r="K277" s="4">
        <v>2.55</v>
      </c>
      <c r="L277" s="4"/>
      <c r="M277" s="4" t="e">
        <f t="shared" si="12"/>
        <v>#DIV/0!</v>
      </c>
      <c r="N277" s="4">
        <f t="shared" si="13"/>
        <v>1.26556776556777</v>
      </c>
      <c r="O277" s="4">
        <f t="shared" si="14"/>
        <v>2.70980392156863</v>
      </c>
      <c r="P277" s="4">
        <v>10</v>
      </c>
      <c r="Q277" s="4">
        <v>4.72</v>
      </c>
      <c r="R277" s="4">
        <v>9.07</v>
      </c>
      <c r="S277" s="4">
        <v>25.83</v>
      </c>
      <c r="T277" s="4">
        <v>245</v>
      </c>
      <c r="U277" s="4">
        <v>19</v>
      </c>
      <c r="V277" s="4">
        <v>1</v>
      </c>
    </row>
    <row r="278" spans="1:22">
      <c r="A278" s="7" t="s">
        <v>260</v>
      </c>
      <c r="B278" s="4" t="s">
        <v>45</v>
      </c>
      <c r="C278" s="4">
        <v>66</v>
      </c>
      <c r="D278" s="9" t="s">
        <v>28</v>
      </c>
      <c r="E278" s="4" t="s">
        <v>29</v>
      </c>
      <c r="F278" s="4" t="s">
        <v>29</v>
      </c>
      <c r="G278" s="4" t="s">
        <v>29</v>
      </c>
      <c r="H278" s="4">
        <v>179.8</v>
      </c>
      <c r="I278" s="4">
        <v>60.05</v>
      </c>
      <c r="J278" s="4">
        <v>53.29</v>
      </c>
      <c r="K278" s="4">
        <v>4.41</v>
      </c>
      <c r="L278" s="4"/>
      <c r="M278" s="4" t="e">
        <f t="shared" si="12"/>
        <v>#DIV/0!</v>
      </c>
      <c r="N278" s="4">
        <f t="shared" si="13"/>
        <v>3.37399136798649</v>
      </c>
      <c r="O278" s="4">
        <f t="shared" si="14"/>
        <v>40.7709750566893</v>
      </c>
      <c r="P278" s="4">
        <v>14.7</v>
      </c>
      <c r="Q278" s="4">
        <v>0.78</v>
      </c>
      <c r="R278" s="4">
        <v>16.2</v>
      </c>
      <c r="S278" s="4">
        <v>69.29</v>
      </c>
      <c r="T278" s="4">
        <v>38</v>
      </c>
      <c r="U278" s="4">
        <v>11</v>
      </c>
      <c r="V278" s="4">
        <v>0</v>
      </c>
    </row>
    <row r="279" spans="1:22">
      <c r="A279" s="7" t="s">
        <v>261</v>
      </c>
      <c r="B279" s="4" t="s">
        <v>41</v>
      </c>
      <c r="C279" s="4">
        <v>62</v>
      </c>
      <c r="D279" s="9" t="s">
        <v>42</v>
      </c>
      <c r="E279" s="4" t="s">
        <v>24</v>
      </c>
      <c r="F279" s="4" t="s">
        <v>25</v>
      </c>
      <c r="G279" s="4" t="s">
        <v>25</v>
      </c>
      <c r="H279" s="4">
        <v>2.33</v>
      </c>
      <c r="I279" s="4">
        <v>8.69</v>
      </c>
      <c r="J279" s="4">
        <v>7.61</v>
      </c>
      <c r="K279" s="4">
        <v>1.19</v>
      </c>
      <c r="L279" s="4">
        <v>80</v>
      </c>
      <c r="M279" s="4">
        <f t="shared" si="12"/>
        <v>2.9125</v>
      </c>
      <c r="N279" s="4">
        <f t="shared" si="13"/>
        <v>0.306176084099869</v>
      </c>
      <c r="O279" s="4">
        <f t="shared" si="14"/>
        <v>1.95798319327731</v>
      </c>
      <c r="P279" s="4">
        <v>13.5</v>
      </c>
      <c r="Q279" s="4">
        <v>5.47</v>
      </c>
      <c r="R279" s="4">
        <v>1.08</v>
      </c>
      <c r="S279" s="4">
        <v>4.28</v>
      </c>
      <c r="T279" s="4">
        <v>217</v>
      </c>
      <c r="U279" s="4">
        <v>41</v>
      </c>
      <c r="V279" s="4">
        <v>0</v>
      </c>
    </row>
    <row r="280" ht="13.9" spans="1:22">
      <c r="A280" s="7" t="s">
        <v>262</v>
      </c>
      <c r="B280" s="4" t="s">
        <v>41</v>
      </c>
      <c r="C280" s="4">
        <v>60</v>
      </c>
      <c r="D280" s="9" t="s">
        <v>61</v>
      </c>
      <c r="E280" s="4" t="s">
        <v>24</v>
      </c>
      <c r="F280" s="4" t="s">
        <v>25</v>
      </c>
      <c r="G280" s="4" t="s">
        <v>25</v>
      </c>
      <c r="H280" s="4">
        <v>5.28</v>
      </c>
      <c r="I280" s="4">
        <v>16.63</v>
      </c>
      <c r="J280" s="4">
        <v>5.95</v>
      </c>
      <c r="K280" s="4">
        <v>1.25</v>
      </c>
      <c r="L280" s="4">
        <v>83</v>
      </c>
      <c r="M280" s="4">
        <f t="shared" si="12"/>
        <v>6.36144578313253</v>
      </c>
      <c r="N280" s="4">
        <f t="shared" si="13"/>
        <v>0.887394957983193</v>
      </c>
      <c r="O280" s="4">
        <f t="shared" si="14"/>
        <v>4.224</v>
      </c>
      <c r="P280" s="4">
        <v>14.3</v>
      </c>
      <c r="Q280" s="4">
        <v>5.66</v>
      </c>
      <c r="R280" s="4">
        <v>5.4</v>
      </c>
      <c r="S280" s="4">
        <v>22.45</v>
      </c>
      <c r="T280" s="4">
        <v>191</v>
      </c>
      <c r="U280" s="4">
        <v>36</v>
      </c>
      <c r="V280" s="4">
        <v>0</v>
      </c>
    </row>
    <row r="281" spans="1:22">
      <c r="A281" s="7" t="s">
        <v>263</v>
      </c>
      <c r="B281" s="4" t="s">
        <v>45</v>
      </c>
      <c r="C281" s="4">
        <v>55</v>
      </c>
      <c r="D281" s="9" t="s">
        <v>28</v>
      </c>
      <c r="E281" s="4" t="s">
        <v>24</v>
      </c>
      <c r="F281" s="4" t="s">
        <v>25</v>
      </c>
      <c r="G281" s="4" t="s">
        <v>25</v>
      </c>
      <c r="H281" s="4">
        <v>17.21</v>
      </c>
      <c r="I281" s="4">
        <v>9.22</v>
      </c>
      <c r="J281" s="4">
        <v>5.11</v>
      </c>
      <c r="K281" s="4">
        <v>1.79</v>
      </c>
      <c r="L281" s="4">
        <v>117</v>
      </c>
      <c r="M281" s="4">
        <f t="shared" si="12"/>
        <v>14.7094017094017</v>
      </c>
      <c r="N281" s="4">
        <f t="shared" si="13"/>
        <v>3.3679060665362</v>
      </c>
      <c r="O281" s="4">
        <f t="shared" si="14"/>
        <v>9.6145251396648</v>
      </c>
      <c r="P281" s="4">
        <v>15.4</v>
      </c>
      <c r="Q281" s="4">
        <v>7.6</v>
      </c>
      <c r="R281" s="4">
        <v>11.24</v>
      </c>
      <c r="S281" s="4">
        <v>52.14</v>
      </c>
      <c r="T281" s="4">
        <v>203</v>
      </c>
      <c r="U281" s="4">
        <v>50</v>
      </c>
      <c r="V281" s="4">
        <v>0</v>
      </c>
    </row>
    <row r="282" spans="1:22">
      <c r="A282" s="7" t="s">
        <v>264</v>
      </c>
      <c r="B282" s="4" t="s">
        <v>45</v>
      </c>
      <c r="C282" s="4">
        <v>26</v>
      </c>
      <c r="D282" s="9" t="s">
        <v>42</v>
      </c>
      <c r="E282" s="4" t="s">
        <v>29</v>
      </c>
      <c r="F282" s="4" t="s">
        <v>29</v>
      </c>
      <c r="G282" s="4" t="s">
        <v>29</v>
      </c>
      <c r="H282" s="4">
        <v>9.88</v>
      </c>
      <c r="I282" s="4">
        <v>39.41</v>
      </c>
      <c r="J282" s="4">
        <v>10.71</v>
      </c>
      <c r="K282" s="4">
        <v>3.48</v>
      </c>
      <c r="L282" s="4">
        <v>47</v>
      </c>
      <c r="M282" s="4">
        <f t="shared" si="12"/>
        <v>21.0212765957447</v>
      </c>
      <c r="N282" s="4">
        <f t="shared" si="13"/>
        <v>0.92250233426704</v>
      </c>
      <c r="O282" s="4">
        <f t="shared" si="14"/>
        <v>2.83908045977012</v>
      </c>
      <c r="P282" s="4">
        <v>22.9</v>
      </c>
      <c r="Q282" s="4">
        <v>1.27</v>
      </c>
      <c r="R282" s="4">
        <v>20</v>
      </c>
      <c r="S282" s="4">
        <v>91.13</v>
      </c>
      <c r="T282" s="4">
        <v>30</v>
      </c>
      <c r="U282" s="4">
        <v>4</v>
      </c>
      <c r="V282" s="4">
        <v>1</v>
      </c>
    </row>
    <row r="283" spans="1:22">
      <c r="A283" s="1" t="s">
        <v>265</v>
      </c>
      <c r="B283" s="2" t="s">
        <v>41</v>
      </c>
      <c r="C283" s="2">
        <v>19</v>
      </c>
      <c r="D283" s="9" t="s">
        <v>28</v>
      </c>
      <c r="E283" s="4" t="s">
        <v>24</v>
      </c>
      <c r="F283" s="4" t="s">
        <v>25</v>
      </c>
      <c r="G283" s="4" t="s">
        <v>25</v>
      </c>
      <c r="H283" s="2">
        <v>8.14</v>
      </c>
      <c r="I283" s="2">
        <v>11</v>
      </c>
      <c r="J283" s="2">
        <v>4.17</v>
      </c>
      <c r="K283" s="2">
        <v>2.12</v>
      </c>
      <c r="L283" s="2">
        <v>119</v>
      </c>
      <c r="M283" s="4">
        <f t="shared" si="12"/>
        <v>6.84033613445378</v>
      </c>
      <c r="N283" s="4">
        <f t="shared" si="13"/>
        <v>1.95203836930456</v>
      </c>
      <c r="O283" s="4">
        <f t="shared" si="14"/>
        <v>3.83962264150943</v>
      </c>
      <c r="P283" s="2">
        <v>14.5</v>
      </c>
      <c r="Q283" s="2">
        <v>2.12</v>
      </c>
      <c r="R283" s="2">
        <v>13.32</v>
      </c>
      <c r="S283" s="2">
        <v>43.48</v>
      </c>
      <c r="T283" s="2">
        <v>56</v>
      </c>
      <c r="U283" s="4">
        <v>17</v>
      </c>
      <c r="V283" s="4">
        <v>0</v>
      </c>
    </row>
    <row r="1048126" customFormat="1" spans="1:22">
      <c r="A1048126" s="5"/>
      <c r="B1048126" s="5"/>
      <c r="C1048126" s="5"/>
      <c r="D1048126" s="3"/>
      <c r="E1048126" s="4"/>
      <c r="F1048126" s="4"/>
      <c r="G1048126" s="5"/>
      <c r="H1048126" s="5"/>
      <c r="I1048126" s="5"/>
      <c r="J1048126" s="5"/>
      <c r="K1048126" s="5"/>
      <c r="L1048126" s="5"/>
      <c r="M1048126" s="5"/>
      <c r="N1048126" s="5"/>
      <c r="O1048126" s="5"/>
      <c r="P1048126" s="3"/>
      <c r="Q1048126" s="3"/>
      <c r="R1048126" s="3"/>
      <c r="S1048126" s="3"/>
      <c r="T1048126" s="3"/>
      <c r="U1048126" s="5"/>
      <c r="V1048126" s="3"/>
    </row>
    <row r="1048127" customFormat="1" spans="1:22">
      <c r="A1048127" s="5"/>
      <c r="B1048127" s="5"/>
      <c r="C1048127" s="5"/>
      <c r="D1048127" s="3"/>
      <c r="E1048127" s="4"/>
      <c r="F1048127" s="4"/>
      <c r="G1048127" s="5"/>
      <c r="H1048127" s="5"/>
      <c r="I1048127" s="5"/>
      <c r="J1048127" s="5"/>
      <c r="K1048127" s="5"/>
      <c r="L1048127" s="5"/>
      <c r="M1048127" s="5"/>
      <c r="N1048127" s="5"/>
      <c r="O1048127" s="5"/>
      <c r="P1048127" s="3"/>
      <c r="Q1048127" s="3"/>
      <c r="R1048127" s="3"/>
      <c r="S1048127" s="3"/>
      <c r="T1048127" s="3"/>
      <c r="U1048127" s="5"/>
      <c r="V1048127" s="3"/>
    </row>
    <row r="1048128" customFormat="1" spans="1:22">
      <c r="A1048128" s="5"/>
      <c r="B1048128" s="5"/>
      <c r="C1048128" s="5"/>
      <c r="D1048128" s="3"/>
      <c r="E1048128" s="4"/>
      <c r="F1048128" s="4"/>
      <c r="G1048128" s="5"/>
      <c r="H1048128" s="5"/>
      <c r="I1048128" s="5"/>
      <c r="J1048128" s="5"/>
      <c r="K1048128" s="5"/>
      <c r="L1048128" s="5"/>
      <c r="M1048128" s="5"/>
      <c r="N1048128" s="5"/>
      <c r="O1048128" s="5"/>
      <c r="P1048128" s="3"/>
      <c r="Q1048128" s="3"/>
      <c r="R1048128" s="3"/>
      <c r="S1048128" s="3"/>
      <c r="T1048128" s="3"/>
      <c r="U1048128" s="5"/>
      <c r="V1048128" s="3"/>
    </row>
    <row r="1048129" customFormat="1" spans="1:22">
      <c r="A1048129" s="5"/>
      <c r="B1048129" s="5"/>
      <c r="C1048129" s="5"/>
      <c r="D1048129" s="3"/>
      <c r="E1048129" s="4"/>
      <c r="F1048129" s="4"/>
      <c r="G1048129" s="5"/>
      <c r="H1048129" s="5"/>
      <c r="I1048129" s="5"/>
      <c r="J1048129" s="5"/>
      <c r="K1048129" s="5"/>
      <c r="L1048129" s="5"/>
      <c r="M1048129" s="5"/>
      <c r="N1048129" s="5"/>
      <c r="O1048129" s="5"/>
      <c r="P1048129" s="3"/>
      <c r="Q1048129" s="3"/>
      <c r="R1048129" s="3"/>
      <c r="S1048129" s="3"/>
      <c r="T1048129" s="3"/>
      <c r="U1048129" s="5"/>
      <c r="V1048129" s="3"/>
    </row>
    <row r="1048130" customFormat="1" spans="1:22">
      <c r="A1048130" s="5"/>
      <c r="B1048130" s="5"/>
      <c r="C1048130" s="5"/>
      <c r="D1048130" s="3"/>
      <c r="E1048130" s="4"/>
      <c r="F1048130" s="4"/>
      <c r="G1048130" s="5"/>
      <c r="H1048130" s="5"/>
      <c r="I1048130" s="5"/>
      <c r="J1048130" s="5"/>
      <c r="K1048130" s="5"/>
      <c r="L1048130" s="5"/>
      <c r="M1048130" s="5"/>
      <c r="N1048130" s="5"/>
      <c r="O1048130" s="5"/>
      <c r="P1048130" s="3"/>
      <c r="Q1048130" s="3"/>
      <c r="R1048130" s="3"/>
      <c r="S1048130" s="3"/>
      <c r="T1048130" s="3"/>
      <c r="U1048130" s="5"/>
      <c r="V1048130" s="3"/>
    </row>
    <row r="1048131" customFormat="1" spans="1:22">
      <c r="A1048131" s="5"/>
      <c r="B1048131" s="5"/>
      <c r="C1048131" s="5"/>
      <c r="D1048131" s="3"/>
      <c r="E1048131" s="4"/>
      <c r="F1048131" s="4"/>
      <c r="G1048131" s="5"/>
      <c r="H1048131" s="5"/>
      <c r="I1048131" s="5"/>
      <c r="J1048131" s="5"/>
      <c r="K1048131" s="5"/>
      <c r="L1048131" s="5"/>
      <c r="M1048131" s="5"/>
      <c r="N1048131" s="5"/>
      <c r="O1048131" s="5"/>
      <c r="P1048131" s="3"/>
      <c r="Q1048131" s="3"/>
      <c r="R1048131" s="3"/>
      <c r="S1048131" s="3"/>
      <c r="T1048131" s="3"/>
      <c r="U1048131" s="5"/>
      <c r="V1048131" s="3"/>
    </row>
    <row r="1048132" customFormat="1" spans="1:22">
      <c r="A1048132" s="5"/>
      <c r="B1048132" s="5"/>
      <c r="C1048132" s="5"/>
      <c r="D1048132" s="3"/>
      <c r="E1048132" s="4"/>
      <c r="F1048132" s="4"/>
      <c r="G1048132" s="5"/>
      <c r="H1048132" s="5"/>
      <c r="I1048132" s="5"/>
      <c r="J1048132" s="5"/>
      <c r="K1048132" s="5"/>
      <c r="L1048132" s="5"/>
      <c r="M1048132" s="5"/>
      <c r="N1048132" s="5"/>
      <c r="O1048132" s="5"/>
      <c r="P1048132" s="3"/>
      <c r="Q1048132" s="3"/>
      <c r="R1048132" s="3"/>
      <c r="S1048132" s="3"/>
      <c r="T1048132" s="3"/>
      <c r="U1048132" s="5"/>
      <c r="V1048132" s="3"/>
    </row>
    <row r="1048133" customFormat="1" spans="1:22">
      <c r="A1048133" s="5"/>
      <c r="B1048133" s="5"/>
      <c r="C1048133" s="5"/>
      <c r="D1048133" s="3"/>
      <c r="E1048133" s="4"/>
      <c r="F1048133" s="4"/>
      <c r="G1048133" s="5"/>
      <c r="H1048133" s="5"/>
      <c r="I1048133" s="5"/>
      <c r="J1048133" s="5"/>
      <c r="K1048133" s="5"/>
      <c r="L1048133" s="5"/>
      <c r="M1048133" s="5"/>
      <c r="N1048133" s="5"/>
      <c r="O1048133" s="5"/>
      <c r="P1048133" s="3"/>
      <c r="Q1048133" s="3"/>
      <c r="R1048133" s="3"/>
      <c r="S1048133" s="3"/>
      <c r="T1048133" s="3"/>
      <c r="U1048133" s="5"/>
      <c r="V1048133" s="3"/>
    </row>
    <row r="1048134" customFormat="1" spans="1:22">
      <c r="A1048134" s="5"/>
      <c r="B1048134" s="5"/>
      <c r="C1048134" s="5"/>
      <c r="D1048134" s="3"/>
      <c r="E1048134" s="4"/>
      <c r="F1048134" s="4"/>
      <c r="G1048134" s="5"/>
      <c r="H1048134" s="5"/>
      <c r="I1048134" s="5"/>
      <c r="J1048134" s="5"/>
      <c r="K1048134" s="5"/>
      <c r="L1048134" s="5"/>
      <c r="M1048134" s="5"/>
      <c r="N1048134" s="5"/>
      <c r="O1048134" s="5"/>
      <c r="P1048134" s="3"/>
      <c r="Q1048134" s="3"/>
      <c r="R1048134" s="3"/>
      <c r="S1048134" s="3"/>
      <c r="T1048134" s="3"/>
      <c r="U1048134" s="5"/>
      <c r="V1048134" s="3"/>
    </row>
    <row r="1048135" customFormat="1" spans="1:22">
      <c r="A1048135" s="5"/>
      <c r="B1048135" s="5"/>
      <c r="C1048135" s="5"/>
      <c r="D1048135" s="3"/>
      <c r="E1048135" s="4"/>
      <c r="F1048135" s="4"/>
      <c r="G1048135" s="5"/>
      <c r="H1048135" s="5"/>
      <c r="I1048135" s="5"/>
      <c r="J1048135" s="5"/>
      <c r="K1048135" s="5"/>
      <c r="L1048135" s="5"/>
      <c r="M1048135" s="5"/>
      <c r="N1048135" s="5"/>
      <c r="O1048135" s="5"/>
      <c r="P1048135" s="3"/>
      <c r="Q1048135" s="3"/>
      <c r="R1048135" s="3"/>
      <c r="S1048135" s="3"/>
      <c r="T1048135" s="3"/>
      <c r="U1048135" s="5"/>
      <c r="V1048135" s="3"/>
    </row>
    <row r="1048136" customFormat="1" spans="1:22">
      <c r="A1048136" s="5"/>
      <c r="B1048136" s="5"/>
      <c r="C1048136" s="5"/>
      <c r="D1048136" s="3"/>
      <c r="E1048136" s="4"/>
      <c r="F1048136" s="4"/>
      <c r="G1048136" s="5"/>
      <c r="H1048136" s="5"/>
      <c r="I1048136" s="5"/>
      <c r="J1048136" s="5"/>
      <c r="K1048136" s="5"/>
      <c r="L1048136" s="5"/>
      <c r="M1048136" s="5"/>
      <c r="N1048136" s="5"/>
      <c r="O1048136" s="5"/>
      <c r="P1048136" s="3"/>
      <c r="Q1048136" s="3"/>
      <c r="R1048136" s="3"/>
      <c r="S1048136" s="3"/>
      <c r="T1048136" s="3"/>
      <c r="U1048136" s="5"/>
      <c r="V1048136" s="3"/>
    </row>
    <row r="1048137" customFormat="1" spans="1:22">
      <c r="A1048137" s="5"/>
      <c r="B1048137" s="5"/>
      <c r="C1048137" s="5"/>
      <c r="D1048137" s="3"/>
      <c r="E1048137" s="4"/>
      <c r="F1048137" s="4"/>
      <c r="G1048137" s="5"/>
      <c r="H1048137" s="5"/>
      <c r="I1048137" s="5"/>
      <c r="J1048137" s="5"/>
      <c r="K1048137" s="5"/>
      <c r="L1048137" s="5"/>
      <c r="M1048137" s="5"/>
      <c r="N1048137" s="5"/>
      <c r="O1048137" s="5"/>
      <c r="P1048137" s="3"/>
      <c r="Q1048137" s="3"/>
      <c r="R1048137" s="3"/>
      <c r="S1048137" s="3"/>
      <c r="T1048137" s="3"/>
      <c r="U1048137" s="5"/>
      <c r="V1048137" s="3"/>
    </row>
    <row r="1048138" customFormat="1" spans="1:22">
      <c r="A1048138" s="5"/>
      <c r="B1048138" s="5"/>
      <c r="C1048138" s="5"/>
      <c r="D1048138" s="3"/>
      <c r="E1048138" s="4"/>
      <c r="F1048138" s="4"/>
      <c r="G1048138" s="5"/>
      <c r="H1048138" s="5"/>
      <c r="I1048138" s="5"/>
      <c r="J1048138" s="5"/>
      <c r="K1048138" s="5"/>
      <c r="L1048138" s="5"/>
      <c r="M1048138" s="5"/>
      <c r="N1048138" s="5"/>
      <c r="O1048138" s="5"/>
      <c r="P1048138" s="3"/>
      <c r="Q1048138" s="3"/>
      <c r="R1048138" s="3"/>
      <c r="S1048138" s="3"/>
      <c r="T1048138" s="3"/>
      <c r="U1048138" s="5"/>
      <c r="V1048138" s="3"/>
    </row>
    <row r="1048139" customFormat="1" spans="1:22">
      <c r="A1048139" s="5"/>
      <c r="B1048139" s="5"/>
      <c r="C1048139" s="5"/>
      <c r="D1048139" s="3"/>
      <c r="E1048139" s="4"/>
      <c r="F1048139" s="4"/>
      <c r="G1048139" s="5"/>
      <c r="H1048139" s="5"/>
      <c r="I1048139" s="5"/>
      <c r="J1048139" s="5"/>
      <c r="K1048139" s="5"/>
      <c r="L1048139" s="5"/>
      <c r="M1048139" s="5"/>
      <c r="N1048139" s="5"/>
      <c r="O1048139" s="5"/>
      <c r="P1048139" s="3"/>
      <c r="Q1048139" s="3"/>
      <c r="R1048139" s="3"/>
      <c r="S1048139" s="3"/>
      <c r="T1048139" s="3"/>
      <c r="U1048139" s="5"/>
      <c r="V1048139" s="3"/>
    </row>
    <row r="1048140" customFormat="1" spans="1:22">
      <c r="A1048140" s="5"/>
      <c r="B1048140" s="5"/>
      <c r="C1048140" s="5"/>
      <c r="D1048140" s="3"/>
      <c r="E1048140" s="4"/>
      <c r="F1048140" s="4"/>
      <c r="G1048140" s="5"/>
      <c r="H1048140" s="5"/>
      <c r="I1048140" s="5"/>
      <c r="J1048140" s="5"/>
      <c r="K1048140" s="5"/>
      <c r="L1048140" s="5"/>
      <c r="M1048140" s="5"/>
      <c r="N1048140" s="5"/>
      <c r="O1048140" s="5"/>
      <c r="P1048140" s="3"/>
      <c r="Q1048140" s="3"/>
      <c r="R1048140" s="3"/>
      <c r="S1048140" s="3"/>
      <c r="T1048140" s="3"/>
      <c r="U1048140" s="5"/>
      <c r="V1048140" s="3"/>
    </row>
    <row r="1048141" customFormat="1" spans="1:22">
      <c r="A1048141" s="5"/>
      <c r="B1048141" s="5"/>
      <c r="C1048141" s="5"/>
      <c r="D1048141" s="3"/>
      <c r="E1048141" s="4"/>
      <c r="F1048141" s="4"/>
      <c r="G1048141" s="5"/>
      <c r="H1048141" s="5"/>
      <c r="I1048141" s="5"/>
      <c r="J1048141" s="5"/>
      <c r="K1048141" s="5"/>
      <c r="L1048141" s="5"/>
      <c r="M1048141" s="5"/>
      <c r="N1048141" s="5"/>
      <c r="O1048141" s="5"/>
      <c r="P1048141" s="3"/>
      <c r="Q1048141" s="3"/>
      <c r="R1048141" s="3"/>
      <c r="S1048141" s="3"/>
      <c r="T1048141" s="3"/>
      <c r="U1048141" s="5"/>
      <c r="V1048141" s="3"/>
    </row>
    <row r="1048142" customFormat="1" spans="1:22">
      <c r="A1048142" s="5"/>
      <c r="B1048142" s="5"/>
      <c r="C1048142" s="5"/>
      <c r="D1048142" s="3"/>
      <c r="E1048142" s="4"/>
      <c r="F1048142" s="4"/>
      <c r="G1048142" s="5"/>
      <c r="H1048142" s="5"/>
      <c r="I1048142" s="5"/>
      <c r="J1048142" s="5"/>
      <c r="K1048142" s="5"/>
      <c r="L1048142" s="5"/>
      <c r="M1048142" s="5"/>
      <c r="N1048142" s="5"/>
      <c r="O1048142" s="5"/>
      <c r="P1048142" s="3"/>
      <c r="Q1048142" s="3"/>
      <c r="R1048142" s="3"/>
      <c r="S1048142" s="3"/>
      <c r="T1048142" s="3"/>
      <c r="U1048142" s="5"/>
      <c r="V1048142" s="3"/>
    </row>
    <row r="1048143" customFormat="1" spans="1:22">
      <c r="A1048143" s="5"/>
      <c r="B1048143" s="5"/>
      <c r="C1048143" s="5"/>
      <c r="D1048143" s="3"/>
      <c r="E1048143" s="4"/>
      <c r="F1048143" s="4"/>
      <c r="G1048143" s="5"/>
      <c r="H1048143" s="5"/>
      <c r="I1048143" s="5"/>
      <c r="J1048143" s="5"/>
      <c r="K1048143" s="5"/>
      <c r="L1048143" s="5"/>
      <c r="M1048143" s="5"/>
      <c r="N1048143" s="5"/>
      <c r="O1048143" s="5"/>
      <c r="P1048143" s="3"/>
      <c r="Q1048143" s="3"/>
      <c r="R1048143" s="3"/>
      <c r="S1048143" s="3"/>
      <c r="T1048143" s="3"/>
      <c r="U1048143" s="5"/>
      <c r="V1048143" s="3"/>
    </row>
    <row r="1048144" customFormat="1" spans="1:22">
      <c r="A1048144" s="5"/>
      <c r="B1048144" s="5"/>
      <c r="C1048144" s="5"/>
      <c r="D1048144" s="3"/>
      <c r="E1048144" s="4"/>
      <c r="F1048144" s="4"/>
      <c r="G1048144" s="5"/>
      <c r="H1048144" s="5"/>
      <c r="I1048144" s="5"/>
      <c r="J1048144" s="5"/>
      <c r="K1048144" s="5"/>
      <c r="L1048144" s="5"/>
      <c r="M1048144" s="5"/>
      <c r="N1048144" s="5"/>
      <c r="O1048144" s="5"/>
      <c r="P1048144" s="3"/>
      <c r="Q1048144" s="3"/>
      <c r="R1048144" s="3"/>
      <c r="S1048144" s="3"/>
      <c r="T1048144" s="3"/>
      <c r="U1048144" s="5"/>
      <c r="V1048144" s="3"/>
    </row>
    <row r="1048145" customFormat="1" spans="1:22">
      <c r="A1048145" s="5"/>
      <c r="B1048145" s="5"/>
      <c r="C1048145" s="5"/>
      <c r="D1048145" s="3"/>
      <c r="E1048145" s="4"/>
      <c r="F1048145" s="4"/>
      <c r="G1048145" s="5"/>
      <c r="H1048145" s="5"/>
      <c r="I1048145" s="5"/>
      <c r="J1048145" s="5"/>
      <c r="K1048145" s="5"/>
      <c r="L1048145" s="5"/>
      <c r="M1048145" s="5"/>
      <c r="N1048145" s="5"/>
      <c r="O1048145" s="5"/>
      <c r="P1048145" s="3"/>
      <c r="Q1048145" s="3"/>
      <c r="R1048145" s="3"/>
      <c r="S1048145" s="3"/>
      <c r="T1048145" s="3"/>
      <c r="U1048145" s="5"/>
      <c r="V1048145" s="3"/>
    </row>
    <row r="1048146" customFormat="1" spans="1:22">
      <c r="A1048146" s="5"/>
      <c r="B1048146" s="5"/>
      <c r="C1048146" s="5"/>
      <c r="D1048146" s="3"/>
      <c r="E1048146" s="4"/>
      <c r="F1048146" s="4"/>
      <c r="G1048146" s="5"/>
      <c r="H1048146" s="5"/>
      <c r="I1048146" s="5"/>
      <c r="J1048146" s="5"/>
      <c r="K1048146" s="5"/>
      <c r="L1048146" s="5"/>
      <c r="M1048146" s="5"/>
      <c r="N1048146" s="5"/>
      <c r="O1048146" s="5"/>
      <c r="P1048146" s="3"/>
      <c r="Q1048146" s="3"/>
      <c r="R1048146" s="3"/>
      <c r="S1048146" s="3"/>
      <c r="T1048146" s="3"/>
      <c r="U1048146" s="5"/>
      <c r="V1048146" s="3"/>
    </row>
    <row r="1048147" customFormat="1" spans="1:22">
      <c r="A1048147" s="5"/>
      <c r="B1048147" s="5"/>
      <c r="C1048147" s="5"/>
      <c r="D1048147" s="3"/>
      <c r="E1048147" s="4"/>
      <c r="F1048147" s="4"/>
      <c r="G1048147" s="5"/>
      <c r="H1048147" s="5"/>
      <c r="I1048147" s="5"/>
      <c r="J1048147" s="5"/>
      <c r="K1048147" s="5"/>
      <c r="L1048147" s="5"/>
      <c r="M1048147" s="5"/>
      <c r="N1048147" s="5"/>
      <c r="O1048147" s="5"/>
      <c r="P1048147" s="3"/>
      <c r="Q1048147" s="3"/>
      <c r="R1048147" s="3"/>
      <c r="S1048147" s="3"/>
      <c r="T1048147" s="3"/>
      <c r="U1048147" s="5"/>
      <c r="V1048147" s="3"/>
    </row>
    <row r="1048148" customFormat="1" spans="1:22">
      <c r="A1048148" s="5"/>
      <c r="B1048148" s="5"/>
      <c r="C1048148" s="5"/>
      <c r="D1048148" s="3"/>
      <c r="E1048148" s="4"/>
      <c r="F1048148" s="4"/>
      <c r="G1048148" s="5"/>
      <c r="H1048148" s="5"/>
      <c r="I1048148" s="5"/>
      <c r="J1048148" s="5"/>
      <c r="K1048148" s="5"/>
      <c r="L1048148" s="5"/>
      <c r="M1048148" s="5"/>
      <c r="N1048148" s="5"/>
      <c r="O1048148" s="5"/>
      <c r="P1048148" s="3"/>
      <c r="Q1048148" s="3"/>
      <c r="R1048148" s="3"/>
      <c r="S1048148" s="3"/>
      <c r="T1048148" s="3"/>
      <c r="U1048148" s="5"/>
      <c r="V1048148" s="3"/>
    </row>
    <row r="1048149" customFormat="1" spans="1:22">
      <c r="A1048149" s="5"/>
      <c r="B1048149" s="5"/>
      <c r="C1048149" s="5"/>
      <c r="D1048149" s="3"/>
      <c r="E1048149" s="4"/>
      <c r="F1048149" s="4"/>
      <c r="G1048149" s="5"/>
      <c r="H1048149" s="5"/>
      <c r="I1048149" s="5"/>
      <c r="J1048149" s="5"/>
      <c r="K1048149" s="5"/>
      <c r="L1048149" s="5"/>
      <c r="M1048149" s="5"/>
      <c r="N1048149" s="5"/>
      <c r="O1048149" s="5"/>
      <c r="P1048149" s="3"/>
      <c r="Q1048149" s="3"/>
      <c r="R1048149" s="3"/>
      <c r="S1048149" s="3"/>
      <c r="T1048149" s="3"/>
      <c r="U1048149" s="5"/>
      <c r="V1048149" s="3"/>
    </row>
    <row r="1048150" customFormat="1" spans="1:22">
      <c r="A1048150" s="5"/>
      <c r="B1048150" s="5"/>
      <c r="C1048150" s="5"/>
      <c r="D1048150" s="3"/>
      <c r="E1048150" s="4"/>
      <c r="F1048150" s="4"/>
      <c r="G1048150" s="5"/>
      <c r="H1048150" s="5"/>
      <c r="I1048150" s="5"/>
      <c r="J1048150" s="5"/>
      <c r="K1048150" s="5"/>
      <c r="L1048150" s="5"/>
      <c r="M1048150" s="5"/>
      <c r="N1048150" s="5"/>
      <c r="O1048150" s="5"/>
      <c r="P1048150" s="3"/>
      <c r="Q1048150" s="3"/>
      <c r="R1048150" s="3"/>
      <c r="S1048150" s="3"/>
      <c r="T1048150" s="3"/>
      <c r="U1048150" s="5"/>
      <c r="V1048150" s="3"/>
    </row>
    <row r="1048151" customFormat="1" spans="1:22">
      <c r="A1048151" s="5"/>
      <c r="B1048151" s="5"/>
      <c r="C1048151" s="5"/>
      <c r="D1048151" s="3"/>
      <c r="E1048151" s="4"/>
      <c r="F1048151" s="4"/>
      <c r="G1048151" s="5"/>
      <c r="H1048151" s="5"/>
      <c r="I1048151" s="5"/>
      <c r="J1048151" s="5"/>
      <c r="K1048151" s="5"/>
      <c r="L1048151" s="5"/>
      <c r="M1048151" s="5"/>
      <c r="N1048151" s="5"/>
      <c r="O1048151" s="5"/>
      <c r="P1048151" s="3"/>
      <c r="Q1048151" s="3"/>
      <c r="R1048151" s="3"/>
      <c r="S1048151" s="3"/>
      <c r="T1048151" s="3"/>
      <c r="U1048151" s="5"/>
      <c r="V1048151" s="3"/>
    </row>
    <row r="1048152" customFormat="1" spans="1:22">
      <c r="A1048152" s="5"/>
      <c r="B1048152" s="5"/>
      <c r="C1048152" s="5"/>
      <c r="D1048152" s="3"/>
      <c r="E1048152" s="4"/>
      <c r="F1048152" s="4"/>
      <c r="G1048152" s="5"/>
      <c r="H1048152" s="5"/>
      <c r="I1048152" s="5"/>
      <c r="J1048152" s="5"/>
      <c r="K1048152" s="5"/>
      <c r="L1048152" s="5"/>
      <c r="M1048152" s="5"/>
      <c r="N1048152" s="5"/>
      <c r="O1048152" s="5"/>
      <c r="P1048152" s="3"/>
      <c r="Q1048152" s="3"/>
      <c r="R1048152" s="3"/>
      <c r="S1048152" s="3"/>
      <c r="T1048152" s="3"/>
      <c r="U1048152" s="5"/>
      <c r="V1048152" s="3"/>
    </row>
    <row r="1048153" customFormat="1" spans="1:22">
      <c r="A1048153" s="5"/>
      <c r="B1048153" s="5"/>
      <c r="C1048153" s="5"/>
      <c r="D1048153" s="3"/>
      <c r="E1048153" s="4"/>
      <c r="F1048153" s="4"/>
      <c r="G1048153" s="5"/>
      <c r="H1048153" s="5"/>
      <c r="I1048153" s="5"/>
      <c r="J1048153" s="5"/>
      <c r="K1048153" s="5"/>
      <c r="L1048153" s="5"/>
      <c r="M1048153" s="5"/>
      <c r="N1048153" s="5"/>
      <c r="O1048153" s="5"/>
      <c r="P1048153" s="3"/>
      <c r="Q1048153" s="3"/>
      <c r="R1048153" s="3"/>
      <c r="S1048153" s="3"/>
      <c r="T1048153" s="3"/>
      <c r="U1048153" s="5"/>
      <c r="V1048153" s="3"/>
    </row>
    <row r="1048154" customFormat="1" spans="1:22">
      <c r="A1048154" s="5"/>
      <c r="B1048154" s="5"/>
      <c r="C1048154" s="5"/>
      <c r="D1048154" s="3"/>
      <c r="E1048154" s="4"/>
      <c r="F1048154" s="4"/>
      <c r="G1048154" s="5"/>
      <c r="H1048154" s="5"/>
      <c r="I1048154" s="5"/>
      <c r="J1048154" s="5"/>
      <c r="K1048154" s="5"/>
      <c r="L1048154" s="5"/>
      <c r="M1048154" s="5"/>
      <c r="N1048154" s="5"/>
      <c r="O1048154" s="5"/>
      <c r="P1048154" s="3"/>
      <c r="Q1048154" s="3"/>
      <c r="R1048154" s="3"/>
      <c r="S1048154" s="3"/>
      <c r="T1048154" s="3"/>
      <c r="U1048154" s="5"/>
      <c r="V1048154" s="3"/>
    </row>
    <row r="1048155" customFormat="1" spans="1:22">
      <c r="A1048155" s="5"/>
      <c r="B1048155" s="5"/>
      <c r="C1048155" s="5"/>
      <c r="D1048155" s="3"/>
      <c r="E1048155" s="4"/>
      <c r="F1048155" s="4"/>
      <c r="G1048155" s="5"/>
      <c r="H1048155" s="5"/>
      <c r="I1048155" s="5"/>
      <c r="J1048155" s="5"/>
      <c r="K1048155" s="5"/>
      <c r="L1048155" s="5"/>
      <c r="M1048155" s="5"/>
      <c r="N1048155" s="5"/>
      <c r="O1048155" s="5"/>
      <c r="P1048155" s="3"/>
      <c r="Q1048155" s="3"/>
      <c r="R1048155" s="3"/>
      <c r="S1048155" s="3"/>
      <c r="T1048155" s="3"/>
      <c r="U1048155" s="5"/>
      <c r="V1048155" s="3"/>
    </row>
    <row r="1048156" customFormat="1" spans="1:22">
      <c r="A1048156" s="5"/>
      <c r="B1048156" s="5"/>
      <c r="C1048156" s="5"/>
      <c r="D1048156" s="3"/>
      <c r="E1048156" s="4"/>
      <c r="F1048156" s="4"/>
      <c r="G1048156" s="5"/>
      <c r="H1048156" s="5"/>
      <c r="I1048156" s="5"/>
      <c r="J1048156" s="5"/>
      <c r="K1048156" s="5"/>
      <c r="L1048156" s="5"/>
      <c r="M1048156" s="5"/>
      <c r="N1048156" s="5"/>
      <c r="O1048156" s="5"/>
      <c r="P1048156" s="3"/>
      <c r="Q1048156" s="3"/>
      <c r="R1048156" s="3"/>
      <c r="S1048156" s="3"/>
      <c r="T1048156" s="3"/>
      <c r="U1048156" s="5"/>
      <c r="V1048156" s="3"/>
    </row>
    <row r="1048157" customFormat="1" spans="1:22">
      <c r="A1048157" s="5"/>
      <c r="B1048157" s="5"/>
      <c r="C1048157" s="5"/>
      <c r="D1048157" s="3"/>
      <c r="E1048157" s="4"/>
      <c r="F1048157" s="4"/>
      <c r="G1048157" s="5"/>
      <c r="H1048157" s="5"/>
      <c r="I1048157" s="5"/>
      <c r="J1048157" s="5"/>
      <c r="K1048157" s="5"/>
      <c r="L1048157" s="5"/>
      <c r="M1048157" s="5"/>
      <c r="N1048157" s="5"/>
      <c r="O1048157" s="5"/>
      <c r="P1048157" s="3"/>
      <c r="Q1048157" s="3"/>
      <c r="R1048157" s="3"/>
      <c r="S1048157" s="3"/>
      <c r="T1048157" s="3"/>
      <c r="U1048157" s="5"/>
      <c r="V1048157" s="3"/>
    </row>
    <row r="1048158" customFormat="1" spans="1:22">
      <c r="A1048158" s="5"/>
      <c r="B1048158" s="5"/>
      <c r="C1048158" s="5"/>
      <c r="D1048158" s="3"/>
      <c r="E1048158" s="4"/>
      <c r="F1048158" s="4"/>
      <c r="G1048158" s="5"/>
      <c r="H1048158" s="5"/>
      <c r="I1048158" s="5"/>
      <c r="J1048158" s="5"/>
      <c r="K1048158" s="5"/>
      <c r="L1048158" s="5"/>
      <c r="M1048158" s="5"/>
      <c r="N1048158" s="5"/>
      <c r="O1048158" s="5"/>
      <c r="P1048158" s="3"/>
      <c r="Q1048158" s="3"/>
      <c r="R1048158" s="3"/>
      <c r="S1048158" s="3"/>
      <c r="T1048158" s="3"/>
      <c r="U1048158" s="5"/>
      <c r="V1048158" s="3"/>
    </row>
    <row r="1048159" customFormat="1" spans="1:22">
      <c r="A1048159" s="5"/>
      <c r="B1048159" s="5"/>
      <c r="C1048159" s="5"/>
      <c r="D1048159" s="3"/>
      <c r="E1048159" s="4"/>
      <c r="F1048159" s="4"/>
      <c r="G1048159" s="5"/>
      <c r="H1048159" s="5"/>
      <c r="I1048159" s="5"/>
      <c r="J1048159" s="5"/>
      <c r="K1048159" s="5"/>
      <c r="L1048159" s="5"/>
      <c r="M1048159" s="5"/>
      <c r="N1048159" s="5"/>
      <c r="O1048159" s="5"/>
      <c r="P1048159" s="3"/>
      <c r="Q1048159" s="3"/>
      <c r="R1048159" s="3"/>
      <c r="S1048159" s="3"/>
      <c r="T1048159" s="3"/>
      <c r="U1048159" s="5"/>
      <c r="V1048159" s="3"/>
    </row>
    <row r="1048160" customFormat="1" spans="1:22">
      <c r="A1048160" s="5"/>
      <c r="B1048160" s="5"/>
      <c r="C1048160" s="5"/>
      <c r="D1048160" s="3"/>
      <c r="E1048160" s="4"/>
      <c r="F1048160" s="4"/>
      <c r="G1048160" s="5"/>
      <c r="H1048160" s="5"/>
      <c r="I1048160" s="5"/>
      <c r="J1048160" s="5"/>
      <c r="K1048160" s="5"/>
      <c r="L1048160" s="5"/>
      <c r="M1048160" s="5"/>
      <c r="N1048160" s="5"/>
      <c r="O1048160" s="5"/>
      <c r="P1048160" s="3"/>
      <c r="Q1048160" s="3"/>
      <c r="R1048160" s="3"/>
      <c r="S1048160" s="3"/>
      <c r="T1048160" s="3"/>
      <c r="U1048160" s="5"/>
      <c r="V1048160" s="3"/>
    </row>
    <row r="1048161" customFormat="1" spans="1:22">
      <c r="A1048161" s="5"/>
      <c r="B1048161" s="5"/>
      <c r="C1048161" s="5"/>
      <c r="D1048161" s="3"/>
      <c r="E1048161" s="4"/>
      <c r="F1048161" s="4"/>
      <c r="G1048161" s="5"/>
      <c r="H1048161" s="5"/>
      <c r="I1048161" s="5"/>
      <c r="J1048161" s="5"/>
      <c r="K1048161" s="5"/>
      <c r="L1048161" s="5"/>
      <c r="M1048161" s="5"/>
      <c r="N1048161" s="5"/>
      <c r="O1048161" s="5"/>
      <c r="P1048161" s="3"/>
      <c r="Q1048161" s="3"/>
      <c r="R1048161" s="3"/>
      <c r="S1048161" s="3"/>
      <c r="T1048161" s="3"/>
      <c r="U1048161" s="5"/>
      <c r="V1048161" s="3"/>
    </row>
    <row r="1048162" customFormat="1" spans="1:22">
      <c r="A1048162" s="5"/>
      <c r="B1048162" s="5"/>
      <c r="C1048162" s="5"/>
      <c r="D1048162" s="3"/>
      <c r="E1048162" s="4"/>
      <c r="F1048162" s="4"/>
      <c r="G1048162" s="5"/>
      <c r="H1048162" s="5"/>
      <c r="I1048162" s="5"/>
      <c r="J1048162" s="5"/>
      <c r="K1048162" s="5"/>
      <c r="L1048162" s="5"/>
      <c r="M1048162" s="5"/>
      <c r="N1048162" s="5"/>
      <c r="O1048162" s="5"/>
      <c r="P1048162" s="3"/>
      <c r="Q1048162" s="3"/>
      <c r="R1048162" s="3"/>
      <c r="S1048162" s="3"/>
      <c r="T1048162" s="3"/>
      <c r="U1048162" s="5"/>
      <c r="V1048162" s="3"/>
    </row>
    <row r="1048163" customFormat="1" spans="1:22">
      <c r="A1048163" s="5"/>
      <c r="B1048163" s="5"/>
      <c r="C1048163" s="5"/>
      <c r="D1048163" s="3"/>
      <c r="E1048163" s="4"/>
      <c r="F1048163" s="4"/>
      <c r="G1048163" s="5"/>
      <c r="H1048163" s="5"/>
      <c r="I1048163" s="5"/>
      <c r="J1048163" s="5"/>
      <c r="K1048163" s="5"/>
      <c r="L1048163" s="5"/>
      <c r="M1048163" s="5"/>
      <c r="N1048163" s="5"/>
      <c r="O1048163" s="5"/>
      <c r="P1048163" s="3"/>
      <c r="Q1048163" s="3"/>
      <c r="R1048163" s="3"/>
      <c r="S1048163" s="3"/>
      <c r="T1048163" s="3"/>
      <c r="U1048163" s="5"/>
      <c r="V1048163" s="3"/>
    </row>
    <row r="1048164" customFormat="1" spans="1:22">
      <c r="A1048164" s="5"/>
      <c r="B1048164" s="5"/>
      <c r="C1048164" s="5"/>
      <c r="D1048164" s="3"/>
      <c r="E1048164" s="4"/>
      <c r="F1048164" s="4"/>
      <c r="G1048164" s="5"/>
      <c r="H1048164" s="5"/>
      <c r="I1048164" s="5"/>
      <c r="J1048164" s="5"/>
      <c r="K1048164" s="5"/>
      <c r="L1048164" s="5"/>
      <c r="M1048164" s="5"/>
      <c r="N1048164" s="5"/>
      <c r="O1048164" s="5"/>
      <c r="P1048164" s="3"/>
      <c r="Q1048164" s="3"/>
      <c r="R1048164" s="3"/>
      <c r="S1048164" s="3"/>
      <c r="T1048164" s="3"/>
      <c r="U1048164" s="5"/>
      <c r="V1048164" s="3"/>
    </row>
    <row r="1048165" customFormat="1" spans="1:22">
      <c r="A1048165" s="5"/>
      <c r="B1048165" s="5"/>
      <c r="C1048165" s="5"/>
      <c r="D1048165" s="3"/>
      <c r="E1048165" s="4"/>
      <c r="F1048165" s="4"/>
      <c r="G1048165" s="5"/>
      <c r="H1048165" s="5"/>
      <c r="I1048165" s="5"/>
      <c r="J1048165" s="5"/>
      <c r="K1048165" s="5"/>
      <c r="L1048165" s="5"/>
      <c r="M1048165" s="5"/>
      <c r="N1048165" s="5"/>
      <c r="O1048165" s="5"/>
      <c r="P1048165" s="3"/>
      <c r="Q1048165" s="3"/>
      <c r="R1048165" s="3"/>
      <c r="S1048165" s="3"/>
      <c r="T1048165" s="3"/>
      <c r="U1048165" s="5"/>
      <c r="V1048165" s="3"/>
    </row>
    <row r="1048166" customFormat="1" spans="1:22">
      <c r="A1048166" s="5"/>
      <c r="B1048166" s="5"/>
      <c r="C1048166" s="5"/>
      <c r="D1048166" s="3"/>
      <c r="E1048166" s="4"/>
      <c r="F1048166" s="4"/>
      <c r="G1048166" s="5"/>
      <c r="H1048166" s="5"/>
      <c r="I1048166" s="5"/>
      <c r="J1048166" s="5"/>
      <c r="K1048166" s="5"/>
      <c r="L1048166" s="5"/>
      <c r="M1048166" s="5"/>
      <c r="N1048166" s="5"/>
      <c r="O1048166" s="5"/>
      <c r="P1048166" s="3"/>
      <c r="Q1048166" s="3"/>
      <c r="R1048166" s="3"/>
      <c r="S1048166" s="3"/>
      <c r="T1048166" s="3"/>
      <c r="U1048166" s="5"/>
      <c r="V1048166" s="3"/>
    </row>
    <row r="1048167" customFormat="1" spans="1:22">
      <c r="A1048167" s="5"/>
      <c r="B1048167" s="5"/>
      <c r="C1048167" s="5"/>
      <c r="D1048167" s="3"/>
      <c r="E1048167" s="4"/>
      <c r="F1048167" s="4"/>
      <c r="G1048167" s="5"/>
      <c r="H1048167" s="5"/>
      <c r="I1048167" s="5"/>
      <c r="J1048167" s="5"/>
      <c r="K1048167" s="5"/>
      <c r="L1048167" s="5"/>
      <c r="M1048167" s="5"/>
      <c r="N1048167" s="5"/>
      <c r="O1048167" s="5"/>
      <c r="P1048167" s="3"/>
      <c r="Q1048167" s="3"/>
      <c r="R1048167" s="3"/>
      <c r="S1048167" s="3"/>
      <c r="T1048167" s="3"/>
      <c r="U1048167" s="5"/>
      <c r="V1048167" s="3"/>
    </row>
    <row r="1048168" customFormat="1" spans="1:22">
      <c r="A1048168" s="5"/>
      <c r="B1048168" s="5"/>
      <c r="C1048168" s="5"/>
      <c r="D1048168" s="3"/>
      <c r="E1048168" s="4"/>
      <c r="F1048168" s="4"/>
      <c r="G1048168" s="5"/>
      <c r="H1048168" s="5"/>
      <c r="I1048168" s="5"/>
      <c r="J1048168" s="5"/>
      <c r="K1048168" s="5"/>
      <c r="L1048168" s="5"/>
      <c r="M1048168" s="5"/>
      <c r="N1048168" s="5"/>
      <c r="O1048168" s="5"/>
      <c r="P1048168" s="3"/>
      <c r="Q1048168" s="3"/>
      <c r="R1048168" s="3"/>
      <c r="S1048168" s="3"/>
      <c r="T1048168" s="3"/>
      <c r="U1048168" s="5"/>
      <c r="V1048168" s="3"/>
    </row>
    <row r="1048169" customFormat="1" spans="1:22">
      <c r="A1048169" s="5"/>
      <c r="B1048169" s="5"/>
      <c r="C1048169" s="5"/>
      <c r="D1048169" s="3"/>
      <c r="E1048169" s="4"/>
      <c r="F1048169" s="4"/>
      <c r="G1048169" s="5"/>
      <c r="H1048169" s="5"/>
      <c r="I1048169" s="5"/>
      <c r="J1048169" s="5"/>
      <c r="K1048169" s="5"/>
      <c r="L1048169" s="5"/>
      <c r="M1048169" s="5"/>
      <c r="N1048169" s="5"/>
      <c r="O1048169" s="5"/>
      <c r="P1048169" s="3"/>
      <c r="Q1048169" s="3"/>
      <c r="R1048169" s="3"/>
      <c r="S1048169" s="3"/>
      <c r="T1048169" s="3"/>
      <c r="U1048169" s="5"/>
      <c r="V1048169" s="3"/>
    </row>
    <row r="1048170" customFormat="1" spans="1:22">
      <c r="A1048170" s="5"/>
      <c r="B1048170" s="5"/>
      <c r="C1048170" s="5"/>
      <c r="D1048170" s="3"/>
      <c r="E1048170" s="4"/>
      <c r="F1048170" s="4"/>
      <c r="G1048170" s="5"/>
      <c r="H1048170" s="5"/>
      <c r="I1048170" s="5"/>
      <c r="J1048170" s="5"/>
      <c r="K1048170" s="5"/>
      <c r="L1048170" s="5"/>
      <c r="M1048170" s="5"/>
      <c r="N1048170" s="5"/>
      <c r="O1048170" s="5"/>
      <c r="P1048170" s="3"/>
      <c r="Q1048170" s="3"/>
      <c r="R1048170" s="3"/>
      <c r="S1048170" s="3"/>
      <c r="T1048170" s="3"/>
      <c r="U1048170" s="5"/>
      <c r="V1048170" s="3"/>
    </row>
    <row r="1048171" customFormat="1" spans="1:22">
      <c r="A1048171" s="5"/>
      <c r="B1048171" s="5"/>
      <c r="C1048171" s="5"/>
      <c r="D1048171" s="3"/>
      <c r="E1048171" s="4"/>
      <c r="F1048171" s="4"/>
      <c r="G1048171" s="5"/>
      <c r="H1048171" s="5"/>
      <c r="I1048171" s="5"/>
      <c r="J1048171" s="5"/>
      <c r="K1048171" s="5"/>
      <c r="L1048171" s="5"/>
      <c r="M1048171" s="5"/>
      <c r="N1048171" s="5"/>
      <c r="O1048171" s="5"/>
      <c r="P1048171" s="3"/>
      <c r="Q1048171" s="3"/>
      <c r="R1048171" s="3"/>
      <c r="S1048171" s="3"/>
      <c r="T1048171" s="3"/>
      <c r="U1048171" s="5"/>
      <c r="V1048171" s="3"/>
    </row>
    <row r="1048172" customFormat="1" spans="1:22">
      <c r="A1048172" s="5"/>
      <c r="B1048172" s="5"/>
      <c r="C1048172" s="5"/>
      <c r="D1048172" s="3"/>
      <c r="E1048172" s="4"/>
      <c r="F1048172" s="4"/>
      <c r="G1048172" s="5"/>
      <c r="H1048172" s="5"/>
      <c r="I1048172" s="5"/>
      <c r="J1048172" s="5"/>
      <c r="K1048172" s="5"/>
      <c r="L1048172" s="5"/>
      <c r="M1048172" s="5"/>
      <c r="N1048172" s="5"/>
      <c r="O1048172" s="5"/>
      <c r="P1048172" s="3"/>
      <c r="Q1048172" s="3"/>
      <c r="R1048172" s="3"/>
      <c r="S1048172" s="3"/>
      <c r="T1048172" s="3"/>
      <c r="U1048172" s="5"/>
      <c r="V1048172" s="3"/>
    </row>
    <row r="1048173" customFormat="1" spans="1:22">
      <c r="A1048173" s="5"/>
      <c r="B1048173" s="5"/>
      <c r="C1048173" s="5"/>
      <c r="D1048173" s="3"/>
      <c r="E1048173" s="4"/>
      <c r="F1048173" s="4"/>
      <c r="G1048173" s="5"/>
      <c r="H1048173" s="5"/>
      <c r="I1048173" s="5"/>
      <c r="J1048173" s="5"/>
      <c r="K1048173" s="5"/>
      <c r="L1048173" s="5"/>
      <c r="M1048173" s="5"/>
      <c r="N1048173" s="5"/>
      <c r="O1048173" s="5"/>
      <c r="P1048173" s="3"/>
      <c r="Q1048173" s="3"/>
      <c r="R1048173" s="3"/>
      <c r="S1048173" s="3"/>
      <c r="T1048173" s="3"/>
      <c r="U1048173" s="5"/>
      <c r="V1048173" s="3"/>
    </row>
    <row r="1048174" customFormat="1" spans="1:22">
      <c r="A1048174" s="5"/>
      <c r="B1048174" s="5"/>
      <c r="C1048174" s="5"/>
      <c r="D1048174" s="3"/>
      <c r="E1048174" s="4"/>
      <c r="F1048174" s="4"/>
      <c r="G1048174" s="5"/>
      <c r="H1048174" s="5"/>
      <c r="I1048174" s="5"/>
      <c r="J1048174" s="5"/>
      <c r="K1048174" s="5"/>
      <c r="L1048174" s="5"/>
      <c r="M1048174" s="5"/>
      <c r="N1048174" s="5"/>
      <c r="O1048174" s="5"/>
      <c r="P1048174" s="3"/>
      <c r="Q1048174" s="3"/>
      <c r="R1048174" s="3"/>
      <c r="S1048174" s="3"/>
      <c r="T1048174" s="3"/>
      <c r="U1048174" s="5"/>
      <c r="V1048174" s="3"/>
    </row>
    <row r="1048175" customFormat="1" spans="1:22">
      <c r="A1048175" s="5"/>
      <c r="B1048175" s="5"/>
      <c r="C1048175" s="5"/>
      <c r="D1048175" s="3"/>
      <c r="E1048175" s="4"/>
      <c r="F1048175" s="4"/>
      <c r="G1048175" s="5"/>
      <c r="H1048175" s="5"/>
      <c r="I1048175" s="5"/>
      <c r="J1048175" s="5"/>
      <c r="K1048175" s="5"/>
      <c r="L1048175" s="5"/>
      <c r="M1048175" s="5"/>
      <c r="N1048175" s="5"/>
      <c r="O1048175" s="5"/>
      <c r="P1048175" s="3"/>
      <c r="Q1048175" s="3"/>
      <c r="R1048175" s="3"/>
      <c r="S1048175" s="3"/>
      <c r="T1048175" s="3"/>
      <c r="U1048175" s="5"/>
      <c r="V1048175" s="3"/>
    </row>
    <row r="1048176" customFormat="1" spans="1:22">
      <c r="A1048176" s="5"/>
      <c r="B1048176" s="5"/>
      <c r="C1048176" s="5"/>
      <c r="D1048176" s="3"/>
      <c r="E1048176" s="4"/>
      <c r="F1048176" s="4"/>
      <c r="G1048176" s="5"/>
      <c r="H1048176" s="5"/>
      <c r="I1048176" s="5"/>
      <c r="J1048176" s="5"/>
      <c r="K1048176" s="5"/>
      <c r="L1048176" s="5"/>
      <c r="M1048176" s="5"/>
      <c r="N1048176" s="5"/>
      <c r="O1048176" s="5"/>
      <c r="P1048176" s="3"/>
      <c r="Q1048176" s="3"/>
      <c r="R1048176" s="3"/>
      <c r="S1048176" s="3"/>
      <c r="T1048176" s="3"/>
      <c r="U1048176" s="5"/>
      <c r="V1048176" s="3"/>
    </row>
    <row r="1048177" customFormat="1" spans="1:22">
      <c r="A1048177" s="5"/>
      <c r="B1048177" s="5"/>
      <c r="C1048177" s="5"/>
      <c r="D1048177" s="3"/>
      <c r="E1048177" s="4"/>
      <c r="F1048177" s="4"/>
      <c r="G1048177" s="5"/>
      <c r="H1048177" s="5"/>
      <c r="I1048177" s="5"/>
      <c r="J1048177" s="5"/>
      <c r="K1048177" s="5"/>
      <c r="L1048177" s="5"/>
      <c r="M1048177" s="5"/>
      <c r="N1048177" s="5"/>
      <c r="O1048177" s="5"/>
      <c r="P1048177" s="3"/>
      <c r="Q1048177" s="3"/>
      <c r="R1048177" s="3"/>
      <c r="S1048177" s="3"/>
      <c r="T1048177" s="3"/>
      <c r="U1048177" s="5"/>
      <c r="V1048177" s="3"/>
    </row>
    <row r="1048178" customFormat="1" spans="1:22">
      <c r="A1048178" s="5"/>
      <c r="B1048178" s="5"/>
      <c r="C1048178" s="5"/>
      <c r="D1048178" s="3"/>
      <c r="E1048178" s="4"/>
      <c r="F1048178" s="4"/>
      <c r="G1048178" s="5"/>
      <c r="H1048178" s="5"/>
      <c r="I1048178" s="5"/>
      <c r="J1048178" s="5"/>
      <c r="K1048178" s="5"/>
      <c r="L1048178" s="5"/>
      <c r="M1048178" s="5"/>
      <c r="N1048178" s="5"/>
      <c r="O1048178" s="5"/>
      <c r="P1048178" s="3"/>
      <c r="Q1048178" s="3"/>
      <c r="R1048178" s="3"/>
      <c r="S1048178" s="3"/>
      <c r="T1048178" s="3"/>
      <c r="U1048178" s="5"/>
      <c r="V1048178" s="3"/>
    </row>
    <row r="1048179" customFormat="1" spans="1:22">
      <c r="A1048179" s="5"/>
      <c r="B1048179" s="5"/>
      <c r="C1048179" s="5"/>
      <c r="D1048179" s="3"/>
      <c r="E1048179" s="4"/>
      <c r="F1048179" s="4"/>
      <c r="G1048179" s="5"/>
      <c r="H1048179" s="5"/>
      <c r="I1048179" s="5"/>
      <c r="J1048179" s="5"/>
      <c r="K1048179" s="5"/>
      <c r="L1048179" s="5"/>
      <c r="M1048179" s="5"/>
      <c r="N1048179" s="5"/>
      <c r="O1048179" s="5"/>
      <c r="P1048179" s="3"/>
      <c r="Q1048179" s="3"/>
      <c r="R1048179" s="3"/>
      <c r="S1048179" s="3"/>
      <c r="T1048179" s="3"/>
      <c r="U1048179" s="5"/>
      <c r="V1048179" s="3"/>
    </row>
    <row r="1048180" customFormat="1" spans="1:22">
      <c r="A1048180" s="5"/>
      <c r="B1048180" s="5"/>
      <c r="C1048180" s="5"/>
      <c r="D1048180" s="3"/>
      <c r="E1048180" s="4"/>
      <c r="F1048180" s="4"/>
      <c r="G1048180" s="5"/>
      <c r="H1048180" s="5"/>
      <c r="I1048180" s="5"/>
      <c r="J1048180" s="5"/>
      <c r="K1048180" s="5"/>
      <c r="L1048180" s="5"/>
      <c r="M1048180" s="5"/>
      <c r="N1048180" s="5"/>
      <c r="O1048180" s="5"/>
      <c r="P1048180" s="3"/>
      <c r="Q1048180" s="3"/>
      <c r="R1048180" s="3"/>
      <c r="S1048180" s="3"/>
      <c r="T1048180" s="3"/>
      <c r="U1048180" s="5"/>
      <c r="V1048180" s="3"/>
    </row>
    <row r="1048181" customFormat="1" spans="1:22">
      <c r="A1048181" s="5"/>
      <c r="B1048181" s="5"/>
      <c r="C1048181" s="5"/>
      <c r="D1048181" s="3"/>
      <c r="E1048181" s="4"/>
      <c r="F1048181" s="4"/>
      <c r="G1048181" s="5"/>
      <c r="H1048181" s="5"/>
      <c r="I1048181" s="5"/>
      <c r="J1048181" s="5"/>
      <c r="K1048181" s="5"/>
      <c r="L1048181" s="5"/>
      <c r="M1048181" s="5"/>
      <c r="N1048181" s="5"/>
      <c r="O1048181" s="5"/>
      <c r="P1048181" s="3"/>
      <c r="Q1048181" s="3"/>
      <c r="R1048181" s="3"/>
      <c r="S1048181" s="3"/>
      <c r="T1048181" s="3"/>
      <c r="U1048181" s="5"/>
      <c r="V1048181" s="3"/>
    </row>
    <row r="1048182" customFormat="1" spans="1:22">
      <c r="A1048182" s="5"/>
      <c r="B1048182" s="5"/>
      <c r="C1048182" s="5"/>
      <c r="D1048182" s="3"/>
      <c r="E1048182" s="4"/>
      <c r="F1048182" s="4"/>
      <c r="G1048182" s="5"/>
      <c r="H1048182" s="5"/>
      <c r="I1048182" s="5"/>
      <c r="J1048182" s="5"/>
      <c r="K1048182" s="5"/>
      <c r="L1048182" s="5"/>
      <c r="M1048182" s="5"/>
      <c r="N1048182" s="5"/>
      <c r="O1048182" s="5"/>
      <c r="P1048182" s="3"/>
      <c r="Q1048182" s="3"/>
      <c r="R1048182" s="3"/>
      <c r="S1048182" s="3"/>
      <c r="T1048182" s="3"/>
      <c r="U1048182" s="5"/>
      <c r="V1048182" s="3"/>
    </row>
    <row r="1048183" customFormat="1" spans="1:22">
      <c r="A1048183" s="5"/>
      <c r="B1048183" s="5"/>
      <c r="C1048183" s="5"/>
      <c r="D1048183" s="3"/>
      <c r="E1048183" s="4"/>
      <c r="F1048183" s="4"/>
      <c r="G1048183" s="5"/>
      <c r="H1048183" s="5"/>
      <c r="I1048183" s="5"/>
      <c r="J1048183" s="5"/>
      <c r="K1048183" s="5"/>
      <c r="L1048183" s="5"/>
      <c r="M1048183" s="5"/>
      <c r="N1048183" s="5"/>
      <c r="O1048183" s="5"/>
      <c r="P1048183" s="3"/>
      <c r="Q1048183" s="3"/>
      <c r="R1048183" s="3"/>
      <c r="S1048183" s="3"/>
      <c r="T1048183" s="3"/>
      <c r="U1048183" s="5"/>
      <c r="V1048183" s="3"/>
    </row>
    <row r="1048184" customFormat="1" spans="1:22">
      <c r="A1048184" s="5"/>
      <c r="B1048184" s="5"/>
      <c r="C1048184" s="5"/>
      <c r="D1048184" s="3"/>
      <c r="E1048184" s="4"/>
      <c r="F1048184" s="4"/>
      <c r="G1048184" s="5"/>
      <c r="H1048184" s="5"/>
      <c r="I1048184" s="5"/>
      <c r="J1048184" s="5"/>
      <c r="K1048184" s="5"/>
      <c r="L1048184" s="5"/>
      <c r="M1048184" s="5"/>
      <c r="N1048184" s="5"/>
      <c r="O1048184" s="5"/>
      <c r="P1048184" s="3"/>
      <c r="Q1048184" s="3"/>
      <c r="R1048184" s="3"/>
      <c r="S1048184" s="3"/>
      <c r="T1048184" s="3"/>
      <c r="U1048184" s="5"/>
      <c r="V1048184" s="3"/>
    </row>
    <row r="1048185" customFormat="1" spans="1:22">
      <c r="A1048185" s="5"/>
      <c r="B1048185" s="5"/>
      <c r="C1048185" s="5"/>
      <c r="D1048185" s="3"/>
      <c r="E1048185" s="4"/>
      <c r="F1048185" s="4"/>
      <c r="G1048185" s="5"/>
      <c r="H1048185" s="5"/>
      <c r="I1048185" s="5"/>
      <c r="J1048185" s="5"/>
      <c r="K1048185" s="5"/>
      <c r="L1048185" s="5"/>
      <c r="M1048185" s="5"/>
      <c r="N1048185" s="5"/>
      <c r="O1048185" s="5"/>
      <c r="P1048185" s="3"/>
      <c r="Q1048185" s="3"/>
      <c r="R1048185" s="3"/>
      <c r="S1048185" s="3"/>
      <c r="T1048185" s="3"/>
      <c r="U1048185" s="5"/>
      <c r="V1048185" s="3"/>
    </row>
    <row r="1048186" customFormat="1" spans="1:22">
      <c r="A1048186" s="5"/>
      <c r="B1048186" s="5"/>
      <c r="C1048186" s="5"/>
      <c r="D1048186" s="3"/>
      <c r="E1048186" s="4"/>
      <c r="F1048186" s="4"/>
      <c r="G1048186" s="5"/>
      <c r="H1048186" s="5"/>
      <c r="I1048186" s="5"/>
      <c r="J1048186" s="5"/>
      <c r="K1048186" s="5"/>
      <c r="L1048186" s="5"/>
      <c r="M1048186" s="5"/>
      <c r="N1048186" s="5"/>
      <c r="O1048186" s="5"/>
      <c r="P1048186" s="3"/>
      <c r="Q1048186" s="3"/>
      <c r="R1048186" s="3"/>
      <c r="S1048186" s="3"/>
      <c r="T1048186" s="3"/>
      <c r="U1048186" s="5"/>
      <c r="V1048186" s="3"/>
    </row>
    <row r="1048187" customFormat="1" spans="1:22">
      <c r="A1048187" s="5"/>
      <c r="B1048187" s="5"/>
      <c r="C1048187" s="5"/>
      <c r="D1048187" s="3"/>
      <c r="E1048187" s="4"/>
      <c r="F1048187" s="4"/>
      <c r="G1048187" s="5"/>
      <c r="H1048187" s="5"/>
      <c r="I1048187" s="5"/>
      <c r="J1048187" s="5"/>
      <c r="K1048187" s="5"/>
      <c r="L1048187" s="5"/>
      <c r="M1048187" s="5"/>
      <c r="N1048187" s="5"/>
      <c r="O1048187" s="5"/>
      <c r="P1048187" s="3"/>
      <c r="Q1048187" s="3"/>
      <c r="R1048187" s="3"/>
      <c r="S1048187" s="3"/>
      <c r="T1048187" s="3"/>
      <c r="U1048187" s="5"/>
      <c r="V1048187" s="3"/>
    </row>
    <row r="1048188" customFormat="1" spans="1:22">
      <c r="A1048188" s="5"/>
      <c r="B1048188" s="5"/>
      <c r="C1048188" s="5"/>
      <c r="D1048188" s="3"/>
      <c r="E1048188" s="4"/>
      <c r="F1048188" s="4"/>
      <c r="G1048188" s="5"/>
      <c r="H1048188" s="5"/>
      <c r="I1048188" s="5"/>
      <c r="J1048188" s="5"/>
      <c r="K1048188" s="5"/>
      <c r="L1048188" s="5"/>
      <c r="M1048188" s="5"/>
      <c r="N1048188" s="5"/>
      <c r="O1048188" s="5"/>
      <c r="P1048188" s="3"/>
      <c r="Q1048188" s="3"/>
      <c r="R1048188" s="3"/>
      <c r="S1048188" s="3"/>
      <c r="T1048188" s="3"/>
      <c r="U1048188" s="5"/>
      <c r="V1048188" s="3"/>
    </row>
    <row r="1048189" customFormat="1" spans="1:22">
      <c r="A1048189" s="5"/>
      <c r="B1048189" s="5"/>
      <c r="C1048189" s="5"/>
      <c r="D1048189" s="3"/>
      <c r="E1048189" s="4"/>
      <c r="F1048189" s="4"/>
      <c r="G1048189" s="5"/>
      <c r="H1048189" s="5"/>
      <c r="I1048189" s="5"/>
      <c r="J1048189" s="5"/>
      <c r="K1048189" s="5"/>
      <c r="L1048189" s="5"/>
      <c r="M1048189" s="5"/>
      <c r="N1048189" s="5"/>
      <c r="O1048189" s="5"/>
      <c r="P1048189" s="3"/>
      <c r="Q1048189" s="3"/>
      <c r="R1048189" s="3"/>
      <c r="S1048189" s="3"/>
      <c r="T1048189" s="3"/>
      <c r="U1048189" s="5"/>
      <c r="V1048189" s="3"/>
    </row>
    <row r="1048190" customFormat="1" spans="1:22">
      <c r="A1048190" s="5"/>
      <c r="B1048190" s="5"/>
      <c r="C1048190" s="5"/>
      <c r="D1048190" s="3"/>
      <c r="E1048190" s="4"/>
      <c r="F1048190" s="4"/>
      <c r="G1048190" s="5"/>
      <c r="H1048190" s="5"/>
      <c r="I1048190" s="5"/>
      <c r="J1048190" s="5"/>
      <c r="K1048190" s="5"/>
      <c r="L1048190" s="5"/>
      <c r="M1048190" s="5"/>
      <c r="N1048190" s="5"/>
      <c r="O1048190" s="5"/>
      <c r="P1048190" s="3"/>
      <c r="Q1048190" s="3"/>
      <c r="R1048190" s="3"/>
      <c r="S1048190" s="3"/>
      <c r="T1048190" s="3"/>
      <c r="U1048190" s="5"/>
      <c r="V1048190" s="3"/>
    </row>
    <row r="1048191" customFormat="1" spans="1:22">
      <c r="A1048191" s="5"/>
      <c r="B1048191" s="5"/>
      <c r="C1048191" s="5"/>
      <c r="D1048191" s="3"/>
      <c r="E1048191" s="4"/>
      <c r="F1048191" s="4"/>
      <c r="G1048191" s="5"/>
      <c r="H1048191" s="5"/>
      <c r="I1048191" s="5"/>
      <c r="J1048191" s="5"/>
      <c r="K1048191" s="5"/>
      <c r="L1048191" s="5"/>
      <c r="M1048191" s="5"/>
      <c r="N1048191" s="5"/>
      <c r="O1048191" s="5"/>
      <c r="P1048191" s="3"/>
      <c r="Q1048191" s="3"/>
      <c r="R1048191" s="3"/>
      <c r="S1048191" s="3"/>
      <c r="T1048191" s="3"/>
      <c r="U1048191" s="5"/>
      <c r="V1048191" s="3"/>
    </row>
    <row r="1048192" customFormat="1" spans="1:22">
      <c r="A1048192" s="5"/>
      <c r="B1048192" s="5"/>
      <c r="C1048192" s="5"/>
      <c r="D1048192" s="3"/>
      <c r="E1048192" s="4"/>
      <c r="F1048192" s="4"/>
      <c r="G1048192" s="5"/>
      <c r="H1048192" s="5"/>
      <c r="I1048192" s="5"/>
      <c r="J1048192" s="5"/>
      <c r="K1048192" s="5"/>
      <c r="L1048192" s="5"/>
      <c r="M1048192" s="5"/>
      <c r="N1048192" s="5"/>
      <c r="O1048192" s="5"/>
      <c r="P1048192" s="3"/>
      <c r="Q1048192" s="3"/>
      <c r="R1048192" s="3"/>
      <c r="S1048192" s="3"/>
      <c r="T1048192" s="3"/>
      <c r="U1048192" s="5"/>
      <c r="V1048192" s="3"/>
    </row>
    <row r="1048193" customFormat="1" spans="1:22">
      <c r="A1048193" s="5"/>
      <c r="B1048193" s="5"/>
      <c r="C1048193" s="5"/>
      <c r="D1048193" s="3"/>
      <c r="E1048193" s="4"/>
      <c r="F1048193" s="4"/>
      <c r="G1048193" s="5"/>
      <c r="H1048193" s="5"/>
      <c r="I1048193" s="5"/>
      <c r="J1048193" s="5"/>
      <c r="K1048193" s="5"/>
      <c r="L1048193" s="5"/>
      <c r="M1048193" s="5"/>
      <c r="N1048193" s="5"/>
      <c r="O1048193" s="5"/>
      <c r="P1048193" s="3"/>
      <c r="Q1048193" s="3"/>
      <c r="R1048193" s="3"/>
      <c r="S1048193" s="3"/>
      <c r="T1048193" s="3"/>
      <c r="U1048193" s="5"/>
      <c r="V1048193" s="3"/>
    </row>
    <row r="1048194" customFormat="1" spans="1:22">
      <c r="A1048194" s="5"/>
      <c r="B1048194" s="5"/>
      <c r="C1048194" s="5"/>
      <c r="D1048194" s="3"/>
      <c r="E1048194" s="4"/>
      <c r="F1048194" s="4"/>
      <c r="G1048194" s="5"/>
      <c r="H1048194" s="5"/>
      <c r="I1048194" s="5"/>
      <c r="J1048194" s="5"/>
      <c r="K1048194" s="5"/>
      <c r="L1048194" s="5"/>
      <c r="M1048194" s="5"/>
      <c r="N1048194" s="5"/>
      <c r="O1048194" s="5"/>
      <c r="P1048194" s="3"/>
      <c r="Q1048194" s="3"/>
      <c r="R1048194" s="3"/>
      <c r="S1048194" s="3"/>
      <c r="T1048194" s="3"/>
      <c r="U1048194" s="5"/>
      <c r="V1048194" s="3"/>
    </row>
    <row r="1048195" customFormat="1" spans="1:22">
      <c r="A1048195" s="5"/>
      <c r="B1048195" s="5"/>
      <c r="C1048195" s="5"/>
      <c r="D1048195" s="3"/>
      <c r="E1048195" s="4"/>
      <c r="F1048195" s="4"/>
      <c r="G1048195" s="5"/>
      <c r="H1048195" s="5"/>
      <c r="I1048195" s="5"/>
      <c r="J1048195" s="5"/>
      <c r="K1048195" s="5"/>
      <c r="L1048195" s="5"/>
      <c r="M1048195" s="5"/>
      <c r="N1048195" s="5"/>
      <c r="O1048195" s="5"/>
      <c r="P1048195" s="3"/>
      <c r="Q1048195" s="3"/>
      <c r="R1048195" s="3"/>
      <c r="S1048195" s="3"/>
      <c r="T1048195" s="3"/>
      <c r="U1048195" s="5"/>
      <c r="V1048195" s="3"/>
    </row>
    <row r="1048196" customFormat="1" spans="1:22">
      <c r="A1048196" s="5"/>
      <c r="B1048196" s="5"/>
      <c r="C1048196" s="5"/>
      <c r="D1048196" s="3"/>
      <c r="E1048196" s="4"/>
      <c r="F1048196" s="4"/>
      <c r="G1048196" s="5"/>
      <c r="H1048196" s="5"/>
      <c r="I1048196" s="5"/>
      <c r="J1048196" s="5"/>
      <c r="K1048196" s="5"/>
      <c r="L1048196" s="5"/>
      <c r="M1048196" s="5"/>
      <c r="N1048196" s="5"/>
      <c r="O1048196" s="5"/>
      <c r="P1048196" s="3"/>
      <c r="Q1048196" s="3"/>
      <c r="R1048196" s="3"/>
      <c r="S1048196" s="3"/>
      <c r="T1048196" s="3"/>
      <c r="U1048196" s="5"/>
      <c r="V1048196" s="3"/>
    </row>
    <row r="1048197" customFormat="1" spans="1:22">
      <c r="A1048197" s="5"/>
      <c r="B1048197" s="5"/>
      <c r="C1048197" s="5"/>
      <c r="D1048197" s="3"/>
      <c r="E1048197" s="4"/>
      <c r="F1048197" s="4"/>
      <c r="G1048197" s="5"/>
      <c r="H1048197" s="5"/>
      <c r="I1048197" s="5"/>
      <c r="J1048197" s="5"/>
      <c r="K1048197" s="5"/>
      <c r="L1048197" s="5"/>
      <c r="M1048197" s="5"/>
      <c r="N1048197" s="5"/>
      <c r="O1048197" s="5"/>
      <c r="P1048197" s="3"/>
      <c r="Q1048197" s="3"/>
      <c r="R1048197" s="3"/>
      <c r="S1048197" s="3"/>
      <c r="T1048197" s="3"/>
      <c r="U1048197" s="5"/>
      <c r="V1048197" s="3"/>
    </row>
    <row r="1048198" customFormat="1" spans="1:22">
      <c r="A1048198" s="5"/>
      <c r="B1048198" s="5"/>
      <c r="C1048198" s="5"/>
      <c r="D1048198" s="3"/>
      <c r="E1048198" s="4"/>
      <c r="F1048198" s="4"/>
      <c r="G1048198" s="5"/>
      <c r="H1048198" s="5"/>
      <c r="I1048198" s="5"/>
      <c r="J1048198" s="5"/>
      <c r="K1048198" s="5"/>
      <c r="L1048198" s="5"/>
      <c r="M1048198" s="5"/>
      <c r="N1048198" s="5"/>
      <c r="O1048198" s="5"/>
      <c r="P1048198" s="3"/>
      <c r="Q1048198" s="3"/>
      <c r="R1048198" s="3"/>
      <c r="S1048198" s="3"/>
      <c r="T1048198" s="3"/>
      <c r="U1048198" s="5"/>
      <c r="V1048198" s="3"/>
    </row>
    <row r="1048199" customFormat="1" spans="1:22">
      <c r="A1048199" s="5"/>
      <c r="B1048199" s="5"/>
      <c r="C1048199" s="5"/>
      <c r="D1048199" s="3"/>
      <c r="E1048199" s="4"/>
      <c r="F1048199" s="4"/>
      <c r="G1048199" s="5"/>
      <c r="H1048199" s="5"/>
      <c r="I1048199" s="5"/>
      <c r="J1048199" s="5"/>
      <c r="K1048199" s="5"/>
      <c r="L1048199" s="5"/>
      <c r="M1048199" s="5"/>
      <c r="N1048199" s="5"/>
      <c r="O1048199" s="5"/>
      <c r="P1048199" s="3"/>
      <c r="Q1048199" s="3"/>
      <c r="R1048199" s="3"/>
      <c r="S1048199" s="3"/>
      <c r="T1048199" s="3"/>
      <c r="U1048199" s="5"/>
      <c r="V1048199" s="3"/>
    </row>
    <row r="1048200" customFormat="1" spans="1:22">
      <c r="A1048200" s="5"/>
      <c r="B1048200" s="5"/>
      <c r="C1048200" s="5"/>
      <c r="D1048200" s="3"/>
      <c r="E1048200" s="4"/>
      <c r="F1048200" s="4"/>
      <c r="G1048200" s="5"/>
      <c r="H1048200" s="5"/>
      <c r="I1048200" s="5"/>
      <c r="J1048200" s="5"/>
      <c r="K1048200" s="5"/>
      <c r="L1048200" s="5"/>
      <c r="M1048200" s="5"/>
      <c r="N1048200" s="5"/>
      <c r="O1048200" s="5"/>
      <c r="P1048200" s="3"/>
      <c r="Q1048200" s="3"/>
      <c r="R1048200" s="3"/>
      <c r="S1048200" s="3"/>
      <c r="T1048200" s="3"/>
      <c r="U1048200" s="5"/>
      <c r="V1048200" s="3"/>
    </row>
    <row r="1048201" customFormat="1" spans="1:22">
      <c r="A1048201" s="5"/>
      <c r="B1048201" s="5"/>
      <c r="C1048201" s="5"/>
      <c r="D1048201" s="3"/>
      <c r="E1048201" s="4"/>
      <c r="F1048201" s="4"/>
      <c r="G1048201" s="5"/>
      <c r="H1048201" s="5"/>
      <c r="I1048201" s="5"/>
      <c r="J1048201" s="5"/>
      <c r="K1048201" s="5"/>
      <c r="L1048201" s="5"/>
      <c r="M1048201" s="5"/>
      <c r="N1048201" s="5"/>
      <c r="O1048201" s="5"/>
      <c r="P1048201" s="3"/>
      <c r="Q1048201" s="3"/>
      <c r="R1048201" s="3"/>
      <c r="S1048201" s="3"/>
      <c r="T1048201" s="3"/>
      <c r="U1048201" s="5"/>
      <c r="V1048201" s="3"/>
    </row>
    <row r="1048202" customFormat="1" spans="1:22">
      <c r="A1048202" s="5"/>
      <c r="B1048202" s="5"/>
      <c r="C1048202" s="5"/>
      <c r="D1048202" s="3"/>
      <c r="E1048202" s="4"/>
      <c r="F1048202" s="4"/>
      <c r="G1048202" s="5"/>
      <c r="H1048202" s="5"/>
      <c r="I1048202" s="5"/>
      <c r="J1048202" s="5"/>
      <c r="K1048202" s="5"/>
      <c r="L1048202" s="5"/>
      <c r="M1048202" s="5"/>
      <c r="N1048202" s="5"/>
      <c r="O1048202" s="5"/>
      <c r="P1048202" s="3"/>
      <c r="Q1048202" s="3"/>
      <c r="R1048202" s="3"/>
      <c r="S1048202" s="3"/>
      <c r="T1048202" s="3"/>
      <c r="U1048202" s="5"/>
      <c r="V1048202" s="3"/>
    </row>
    <row r="1048203" customFormat="1" spans="1:22">
      <c r="A1048203" s="5"/>
      <c r="B1048203" s="5"/>
      <c r="C1048203" s="5"/>
      <c r="D1048203" s="3"/>
      <c r="E1048203" s="4"/>
      <c r="F1048203" s="4"/>
      <c r="G1048203" s="5"/>
      <c r="H1048203" s="5"/>
      <c r="I1048203" s="5"/>
      <c r="J1048203" s="5"/>
      <c r="K1048203" s="5"/>
      <c r="L1048203" s="5"/>
      <c r="M1048203" s="5"/>
      <c r="N1048203" s="5"/>
      <c r="O1048203" s="5"/>
      <c r="P1048203" s="3"/>
      <c r="Q1048203" s="3"/>
      <c r="R1048203" s="3"/>
      <c r="S1048203" s="3"/>
      <c r="T1048203" s="3"/>
      <c r="U1048203" s="5"/>
      <c r="V1048203" s="3"/>
    </row>
    <row r="1048204" customFormat="1" spans="1:22">
      <c r="A1048204" s="5"/>
      <c r="B1048204" s="5"/>
      <c r="C1048204" s="5"/>
      <c r="D1048204" s="3"/>
      <c r="E1048204" s="4"/>
      <c r="F1048204" s="4"/>
      <c r="G1048204" s="5"/>
      <c r="H1048204" s="5"/>
      <c r="I1048204" s="5"/>
      <c r="J1048204" s="5"/>
      <c r="K1048204" s="5"/>
      <c r="L1048204" s="5"/>
      <c r="M1048204" s="5"/>
      <c r="N1048204" s="5"/>
      <c r="O1048204" s="5"/>
      <c r="P1048204" s="3"/>
      <c r="Q1048204" s="3"/>
      <c r="R1048204" s="3"/>
      <c r="S1048204" s="3"/>
      <c r="T1048204" s="3"/>
      <c r="U1048204" s="5"/>
      <c r="V1048204" s="3"/>
    </row>
    <row r="1048205" customFormat="1" spans="1:22">
      <c r="A1048205" s="5"/>
      <c r="B1048205" s="5"/>
      <c r="C1048205" s="5"/>
      <c r="D1048205" s="3"/>
      <c r="E1048205" s="4"/>
      <c r="F1048205" s="4"/>
      <c r="G1048205" s="5"/>
      <c r="H1048205" s="5"/>
      <c r="I1048205" s="5"/>
      <c r="J1048205" s="5"/>
      <c r="K1048205" s="5"/>
      <c r="L1048205" s="5"/>
      <c r="M1048205" s="5"/>
      <c r="N1048205" s="5"/>
      <c r="O1048205" s="5"/>
      <c r="P1048205" s="3"/>
      <c r="Q1048205" s="3"/>
      <c r="R1048205" s="3"/>
      <c r="S1048205" s="3"/>
      <c r="T1048205" s="3"/>
      <c r="U1048205" s="5"/>
      <c r="V1048205" s="3"/>
    </row>
    <row r="1048206" customFormat="1" spans="1:22">
      <c r="A1048206" s="5"/>
      <c r="B1048206" s="5"/>
      <c r="C1048206" s="5"/>
      <c r="D1048206" s="3"/>
      <c r="E1048206" s="4"/>
      <c r="F1048206" s="4"/>
      <c r="G1048206" s="5"/>
      <c r="H1048206" s="5"/>
      <c r="I1048206" s="5"/>
      <c r="J1048206" s="5"/>
      <c r="K1048206" s="5"/>
      <c r="L1048206" s="5"/>
      <c r="M1048206" s="5"/>
      <c r="N1048206" s="5"/>
      <c r="O1048206" s="5"/>
      <c r="P1048206" s="3"/>
      <c r="Q1048206" s="3"/>
      <c r="R1048206" s="3"/>
      <c r="S1048206" s="3"/>
      <c r="T1048206" s="3"/>
      <c r="U1048206" s="5"/>
      <c r="V1048206" s="3"/>
    </row>
    <row r="1048207" customFormat="1" spans="1:22">
      <c r="A1048207" s="5"/>
      <c r="B1048207" s="5"/>
      <c r="C1048207" s="5"/>
      <c r="D1048207" s="3"/>
      <c r="E1048207" s="4"/>
      <c r="F1048207" s="4"/>
      <c r="G1048207" s="5"/>
      <c r="H1048207" s="5"/>
      <c r="I1048207" s="5"/>
      <c r="J1048207" s="5"/>
      <c r="K1048207" s="5"/>
      <c r="L1048207" s="5"/>
      <c r="M1048207" s="5"/>
      <c r="N1048207" s="5"/>
      <c r="O1048207" s="5"/>
      <c r="P1048207" s="3"/>
      <c r="Q1048207" s="3"/>
      <c r="R1048207" s="3"/>
      <c r="S1048207" s="3"/>
      <c r="T1048207" s="3"/>
      <c r="U1048207" s="5"/>
      <c r="V1048207" s="3"/>
    </row>
    <row r="1048208" customFormat="1" spans="1:22">
      <c r="A1048208" s="5"/>
      <c r="B1048208" s="5"/>
      <c r="C1048208" s="5"/>
      <c r="D1048208" s="3"/>
      <c r="E1048208" s="4"/>
      <c r="F1048208" s="4"/>
      <c r="G1048208" s="5"/>
      <c r="H1048208" s="5"/>
      <c r="I1048208" s="5"/>
      <c r="J1048208" s="5"/>
      <c r="K1048208" s="5"/>
      <c r="L1048208" s="5"/>
      <c r="M1048208" s="5"/>
      <c r="N1048208" s="5"/>
      <c r="O1048208" s="5"/>
      <c r="P1048208" s="3"/>
      <c r="Q1048208" s="3"/>
      <c r="R1048208" s="3"/>
      <c r="S1048208" s="3"/>
      <c r="T1048208" s="3"/>
      <c r="U1048208" s="5"/>
      <c r="V1048208" s="3"/>
    </row>
    <row r="1048209" customFormat="1" spans="1:22">
      <c r="A1048209" s="5"/>
      <c r="B1048209" s="5"/>
      <c r="C1048209" s="5"/>
      <c r="D1048209" s="3"/>
      <c r="E1048209" s="4"/>
      <c r="F1048209" s="4"/>
      <c r="G1048209" s="5"/>
      <c r="H1048209" s="5"/>
      <c r="I1048209" s="5"/>
      <c r="J1048209" s="5"/>
      <c r="K1048209" s="5"/>
      <c r="L1048209" s="5"/>
      <c r="M1048209" s="5"/>
      <c r="N1048209" s="5"/>
      <c r="O1048209" s="5"/>
      <c r="P1048209" s="3"/>
      <c r="Q1048209" s="3"/>
      <c r="R1048209" s="3"/>
      <c r="S1048209" s="3"/>
      <c r="T1048209" s="3"/>
      <c r="U1048209" s="5"/>
      <c r="V1048209" s="3"/>
    </row>
    <row r="1048210" customFormat="1" spans="1:22">
      <c r="A1048210" s="5"/>
      <c r="B1048210" s="5"/>
      <c r="C1048210" s="5"/>
      <c r="D1048210" s="3"/>
      <c r="E1048210" s="4"/>
      <c r="F1048210" s="4"/>
      <c r="G1048210" s="5"/>
      <c r="H1048210" s="5"/>
      <c r="I1048210" s="5"/>
      <c r="J1048210" s="5"/>
      <c r="K1048210" s="5"/>
      <c r="L1048210" s="5"/>
      <c r="M1048210" s="5"/>
      <c r="N1048210" s="5"/>
      <c r="O1048210" s="5"/>
      <c r="P1048210" s="3"/>
      <c r="Q1048210" s="3"/>
      <c r="R1048210" s="3"/>
      <c r="S1048210" s="3"/>
      <c r="T1048210" s="3"/>
      <c r="U1048210" s="5"/>
      <c r="V1048210" s="3"/>
    </row>
    <row r="1048211" customFormat="1" spans="1:22">
      <c r="A1048211" s="5"/>
      <c r="B1048211" s="5"/>
      <c r="C1048211" s="5"/>
      <c r="D1048211" s="3"/>
      <c r="E1048211" s="4"/>
      <c r="F1048211" s="4"/>
      <c r="G1048211" s="5"/>
      <c r="H1048211" s="5"/>
      <c r="I1048211" s="5"/>
      <c r="J1048211" s="5"/>
      <c r="K1048211" s="5"/>
      <c r="L1048211" s="5"/>
      <c r="M1048211" s="5"/>
      <c r="N1048211" s="5"/>
      <c r="O1048211" s="5"/>
      <c r="P1048211" s="3"/>
      <c r="Q1048211" s="3"/>
      <c r="R1048211" s="3"/>
      <c r="S1048211" s="3"/>
      <c r="T1048211" s="3"/>
      <c r="U1048211" s="5"/>
      <c r="V1048211" s="3"/>
    </row>
    <row r="1048212" customFormat="1" spans="1:22">
      <c r="A1048212" s="5"/>
      <c r="B1048212" s="5"/>
      <c r="C1048212" s="5"/>
      <c r="D1048212" s="3"/>
      <c r="E1048212" s="4"/>
      <c r="F1048212" s="4"/>
      <c r="G1048212" s="5"/>
      <c r="H1048212" s="5"/>
      <c r="I1048212" s="5"/>
      <c r="J1048212" s="5"/>
      <c r="K1048212" s="5"/>
      <c r="L1048212" s="5"/>
      <c r="M1048212" s="5"/>
      <c r="N1048212" s="5"/>
      <c r="O1048212" s="5"/>
      <c r="P1048212" s="3"/>
      <c r="Q1048212" s="3"/>
      <c r="R1048212" s="3"/>
      <c r="S1048212" s="3"/>
      <c r="T1048212" s="3"/>
      <c r="U1048212" s="5"/>
      <c r="V1048212" s="3"/>
    </row>
    <row r="1048213" customFormat="1" spans="1:22">
      <c r="A1048213" s="5"/>
      <c r="B1048213" s="5"/>
      <c r="C1048213" s="5"/>
      <c r="D1048213" s="3"/>
      <c r="E1048213" s="4"/>
      <c r="F1048213" s="4"/>
      <c r="G1048213" s="5"/>
      <c r="H1048213" s="5"/>
      <c r="I1048213" s="5"/>
      <c r="J1048213" s="5"/>
      <c r="K1048213" s="5"/>
      <c r="L1048213" s="5"/>
      <c r="M1048213" s="5"/>
      <c r="N1048213" s="5"/>
      <c r="O1048213" s="5"/>
      <c r="P1048213" s="3"/>
      <c r="Q1048213" s="3"/>
      <c r="R1048213" s="3"/>
      <c r="S1048213" s="3"/>
      <c r="T1048213" s="3"/>
      <c r="U1048213" s="5"/>
      <c r="V1048213" s="3"/>
    </row>
    <row r="1048214" customFormat="1" spans="1:22">
      <c r="A1048214" s="5"/>
      <c r="B1048214" s="5"/>
      <c r="C1048214" s="5"/>
      <c r="D1048214" s="3"/>
      <c r="E1048214" s="4"/>
      <c r="F1048214" s="4"/>
      <c r="G1048214" s="5"/>
      <c r="H1048214" s="5"/>
      <c r="I1048214" s="5"/>
      <c r="J1048214" s="5"/>
      <c r="K1048214" s="5"/>
      <c r="L1048214" s="5"/>
      <c r="M1048214" s="5"/>
      <c r="N1048214" s="5"/>
      <c r="O1048214" s="5"/>
      <c r="P1048214" s="3"/>
      <c r="Q1048214" s="3"/>
      <c r="R1048214" s="3"/>
      <c r="S1048214" s="3"/>
      <c r="T1048214" s="3"/>
      <c r="U1048214" s="5"/>
      <c r="V1048214" s="3"/>
    </row>
    <row r="1048215" customFormat="1" spans="1:22">
      <c r="A1048215" s="5"/>
      <c r="B1048215" s="5"/>
      <c r="C1048215" s="5"/>
      <c r="D1048215" s="3"/>
      <c r="E1048215" s="4"/>
      <c r="F1048215" s="4"/>
      <c r="G1048215" s="5"/>
      <c r="H1048215" s="5"/>
      <c r="I1048215" s="5"/>
      <c r="J1048215" s="5"/>
      <c r="K1048215" s="5"/>
      <c r="L1048215" s="5"/>
      <c r="M1048215" s="5"/>
      <c r="N1048215" s="5"/>
      <c r="O1048215" s="5"/>
      <c r="P1048215" s="3"/>
      <c r="Q1048215" s="3"/>
      <c r="R1048215" s="3"/>
      <c r="S1048215" s="3"/>
      <c r="T1048215" s="3"/>
      <c r="U1048215" s="5"/>
      <c r="V1048215" s="3"/>
    </row>
    <row r="1048216" customFormat="1" spans="1:22">
      <c r="A1048216" s="5"/>
      <c r="B1048216" s="5"/>
      <c r="C1048216" s="5"/>
      <c r="D1048216" s="3"/>
      <c r="E1048216" s="4"/>
      <c r="F1048216" s="4"/>
      <c r="G1048216" s="5"/>
      <c r="H1048216" s="5"/>
      <c r="I1048216" s="5"/>
      <c r="J1048216" s="5"/>
      <c r="K1048216" s="5"/>
      <c r="L1048216" s="5"/>
      <c r="M1048216" s="5"/>
      <c r="N1048216" s="5"/>
      <c r="O1048216" s="5"/>
      <c r="P1048216" s="3"/>
      <c r="Q1048216" s="3"/>
      <c r="R1048216" s="3"/>
      <c r="S1048216" s="3"/>
      <c r="T1048216" s="3"/>
      <c r="U1048216" s="5"/>
      <c r="V1048216" s="3"/>
    </row>
    <row r="1048217" customFormat="1" spans="1:22">
      <c r="A1048217" s="5"/>
      <c r="B1048217" s="5"/>
      <c r="C1048217" s="5"/>
      <c r="D1048217" s="3"/>
      <c r="E1048217" s="4"/>
      <c r="F1048217" s="4"/>
      <c r="G1048217" s="5"/>
      <c r="H1048217" s="5"/>
      <c r="I1048217" s="5"/>
      <c r="J1048217" s="5"/>
      <c r="K1048217" s="5"/>
      <c r="L1048217" s="5"/>
      <c r="M1048217" s="5"/>
      <c r="N1048217" s="5"/>
      <c r="O1048217" s="5"/>
      <c r="P1048217" s="3"/>
      <c r="Q1048217" s="3"/>
      <c r="R1048217" s="3"/>
      <c r="S1048217" s="3"/>
      <c r="T1048217" s="3"/>
      <c r="U1048217" s="5"/>
      <c r="V1048217" s="3"/>
    </row>
    <row r="1048218" customFormat="1" spans="1:22">
      <c r="A1048218" s="5"/>
      <c r="B1048218" s="5"/>
      <c r="C1048218" s="5"/>
      <c r="D1048218" s="3"/>
      <c r="E1048218" s="4"/>
      <c r="F1048218" s="4"/>
      <c r="G1048218" s="5"/>
      <c r="H1048218" s="5"/>
      <c r="I1048218" s="5"/>
      <c r="J1048218" s="5"/>
      <c r="K1048218" s="5"/>
      <c r="L1048218" s="5"/>
      <c r="M1048218" s="5"/>
      <c r="N1048218" s="5"/>
      <c r="O1048218" s="5"/>
      <c r="P1048218" s="3"/>
      <c r="Q1048218" s="3"/>
      <c r="R1048218" s="3"/>
      <c r="S1048218" s="3"/>
      <c r="T1048218" s="3"/>
      <c r="U1048218" s="5"/>
      <c r="V1048218" s="3"/>
    </row>
    <row r="1048219" customFormat="1" spans="1:22">
      <c r="A1048219" s="5"/>
      <c r="B1048219" s="5"/>
      <c r="C1048219" s="5"/>
      <c r="D1048219" s="3"/>
      <c r="E1048219" s="4"/>
      <c r="F1048219" s="4"/>
      <c r="G1048219" s="5"/>
      <c r="H1048219" s="5"/>
      <c r="I1048219" s="5"/>
      <c r="J1048219" s="5"/>
      <c r="K1048219" s="5"/>
      <c r="L1048219" s="5"/>
      <c r="M1048219" s="5"/>
      <c r="N1048219" s="5"/>
      <c r="O1048219" s="5"/>
      <c r="P1048219" s="3"/>
      <c r="Q1048219" s="3"/>
      <c r="R1048219" s="3"/>
      <c r="S1048219" s="3"/>
      <c r="T1048219" s="3"/>
      <c r="U1048219" s="5"/>
      <c r="V1048219" s="3"/>
    </row>
    <row r="1048220" customFormat="1" spans="1:22">
      <c r="A1048220" s="5"/>
      <c r="B1048220" s="5"/>
      <c r="C1048220" s="5"/>
      <c r="D1048220" s="3"/>
      <c r="E1048220" s="4"/>
      <c r="F1048220" s="4"/>
      <c r="G1048220" s="5"/>
      <c r="H1048220" s="5"/>
      <c r="I1048220" s="5"/>
      <c r="J1048220" s="5"/>
      <c r="K1048220" s="5"/>
      <c r="L1048220" s="5"/>
      <c r="M1048220" s="5"/>
      <c r="N1048220" s="5"/>
      <c r="O1048220" s="5"/>
      <c r="P1048220" s="3"/>
      <c r="Q1048220" s="3"/>
      <c r="R1048220" s="3"/>
      <c r="S1048220" s="3"/>
      <c r="T1048220" s="3"/>
      <c r="U1048220" s="5"/>
      <c r="V1048220" s="3"/>
    </row>
    <row r="1048221" customFormat="1" spans="1:22">
      <c r="A1048221" s="5"/>
      <c r="B1048221" s="5"/>
      <c r="C1048221" s="5"/>
      <c r="D1048221" s="3"/>
      <c r="E1048221" s="4"/>
      <c r="F1048221" s="4"/>
      <c r="G1048221" s="5"/>
      <c r="H1048221" s="5"/>
      <c r="I1048221" s="5"/>
      <c r="J1048221" s="5"/>
      <c r="K1048221" s="5"/>
      <c r="L1048221" s="5"/>
      <c r="M1048221" s="5"/>
      <c r="N1048221" s="5"/>
      <c r="O1048221" s="5"/>
      <c r="P1048221" s="3"/>
      <c r="Q1048221" s="3"/>
      <c r="R1048221" s="3"/>
      <c r="S1048221" s="3"/>
      <c r="T1048221" s="3"/>
      <c r="U1048221" s="5"/>
      <c r="V1048221" s="3"/>
    </row>
    <row r="1048222" customFormat="1" spans="1:22">
      <c r="A1048222" s="5"/>
      <c r="B1048222" s="5"/>
      <c r="C1048222" s="5"/>
      <c r="D1048222" s="3"/>
      <c r="E1048222" s="4"/>
      <c r="F1048222" s="4"/>
      <c r="G1048222" s="5"/>
      <c r="H1048222" s="5"/>
      <c r="I1048222" s="5"/>
      <c r="J1048222" s="5"/>
      <c r="K1048222" s="5"/>
      <c r="L1048222" s="5"/>
      <c r="M1048222" s="5"/>
      <c r="N1048222" s="5"/>
      <c r="O1048222" s="5"/>
      <c r="P1048222" s="3"/>
      <c r="Q1048222" s="3"/>
      <c r="R1048222" s="3"/>
      <c r="S1048222" s="3"/>
      <c r="T1048222" s="3"/>
      <c r="U1048222" s="5"/>
      <c r="V1048222" s="3"/>
    </row>
    <row r="1048223" customFormat="1" spans="1:22">
      <c r="A1048223" s="5"/>
      <c r="B1048223" s="5"/>
      <c r="C1048223" s="5"/>
      <c r="D1048223" s="3"/>
      <c r="E1048223" s="4"/>
      <c r="F1048223" s="4"/>
      <c r="G1048223" s="5"/>
      <c r="H1048223" s="5"/>
      <c r="I1048223" s="5"/>
      <c r="J1048223" s="5"/>
      <c r="K1048223" s="5"/>
      <c r="L1048223" s="5"/>
      <c r="M1048223" s="5"/>
      <c r="N1048223" s="5"/>
      <c r="O1048223" s="5"/>
      <c r="P1048223" s="3"/>
      <c r="Q1048223" s="3"/>
      <c r="R1048223" s="3"/>
      <c r="S1048223" s="3"/>
      <c r="T1048223" s="3"/>
      <c r="U1048223" s="5"/>
      <c r="V1048223" s="3"/>
    </row>
    <row r="1048224" customFormat="1" spans="1:22">
      <c r="A1048224" s="5"/>
      <c r="B1048224" s="5"/>
      <c r="C1048224" s="5"/>
      <c r="D1048224" s="3"/>
      <c r="E1048224" s="4"/>
      <c r="F1048224" s="4"/>
      <c r="G1048224" s="5"/>
      <c r="H1048224" s="5"/>
      <c r="I1048224" s="5"/>
      <c r="J1048224" s="5"/>
      <c r="K1048224" s="5"/>
      <c r="L1048224" s="5"/>
      <c r="M1048224" s="5"/>
      <c r="N1048224" s="5"/>
      <c r="O1048224" s="5"/>
      <c r="P1048224" s="3"/>
      <c r="Q1048224" s="3"/>
      <c r="R1048224" s="3"/>
      <c r="S1048224" s="3"/>
      <c r="T1048224" s="3"/>
      <c r="U1048224" s="5"/>
      <c r="V1048224" s="3"/>
    </row>
    <row r="1048225" customFormat="1" spans="1:22">
      <c r="A1048225" s="5"/>
      <c r="B1048225" s="5"/>
      <c r="C1048225" s="5"/>
      <c r="D1048225" s="3"/>
      <c r="E1048225" s="4"/>
      <c r="F1048225" s="4"/>
      <c r="G1048225" s="5"/>
      <c r="H1048225" s="5"/>
      <c r="I1048225" s="5"/>
      <c r="J1048225" s="5"/>
      <c r="K1048225" s="5"/>
      <c r="L1048225" s="5"/>
      <c r="M1048225" s="5"/>
      <c r="N1048225" s="5"/>
      <c r="O1048225" s="5"/>
      <c r="P1048225" s="3"/>
      <c r="Q1048225" s="3"/>
      <c r="R1048225" s="3"/>
      <c r="S1048225" s="3"/>
      <c r="T1048225" s="3"/>
      <c r="U1048225" s="5"/>
      <c r="V1048225" s="3"/>
    </row>
    <row r="1048226" customFormat="1" spans="1:22">
      <c r="A1048226" s="5"/>
      <c r="B1048226" s="5"/>
      <c r="C1048226" s="5"/>
      <c r="D1048226" s="3"/>
      <c r="E1048226" s="4"/>
      <c r="F1048226" s="4"/>
      <c r="G1048226" s="5"/>
      <c r="H1048226" s="5"/>
      <c r="I1048226" s="5"/>
      <c r="J1048226" s="5"/>
      <c r="K1048226" s="5"/>
      <c r="L1048226" s="5"/>
      <c r="M1048226" s="5"/>
      <c r="N1048226" s="5"/>
      <c r="O1048226" s="5"/>
      <c r="P1048226" s="3"/>
      <c r="Q1048226" s="3"/>
      <c r="R1048226" s="3"/>
      <c r="S1048226" s="3"/>
      <c r="T1048226" s="3"/>
      <c r="U1048226" s="5"/>
      <c r="V1048226" s="3"/>
    </row>
    <row r="1048227" customFormat="1" spans="1:22">
      <c r="A1048227" s="5"/>
      <c r="B1048227" s="5"/>
      <c r="C1048227" s="5"/>
      <c r="D1048227" s="3"/>
      <c r="E1048227" s="4"/>
      <c r="F1048227" s="4"/>
      <c r="G1048227" s="5"/>
      <c r="H1048227" s="5"/>
      <c r="I1048227" s="5"/>
      <c r="J1048227" s="5"/>
      <c r="K1048227" s="5"/>
      <c r="L1048227" s="5"/>
      <c r="M1048227" s="5"/>
      <c r="N1048227" s="5"/>
      <c r="O1048227" s="5"/>
      <c r="P1048227" s="3"/>
      <c r="Q1048227" s="3"/>
      <c r="R1048227" s="3"/>
      <c r="S1048227" s="3"/>
      <c r="T1048227" s="3"/>
      <c r="U1048227" s="5"/>
      <c r="V1048227" s="3"/>
    </row>
    <row r="1048228" customFormat="1" spans="1:22">
      <c r="A1048228" s="5"/>
      <c r="B1048228" s="5"/>
      <c r="C1048228" s="5"/>
      <c r="D1048228" s="3"/>
      <c r="E1048228" s="4"/>
      <c r="F1048228" s="4"/>
      <c r="G1048228" s="5"/>
      <c r="H1048228" s="5"/>
      <c r="I1048228" s="5"/>
      <c r="J1048228" s="5"/>
      <c r="K1048228" s="5"/>
      <c r="L1048228" s="5"/>
      <c r="M1048228" s="5"/>
      <c r="N1048228" s="5"/>
      <c r="O1048228" s="5"/>
      <c r="P1048228" s="3"/>
      <c r="Q1048228" s="3"/>
      <c r="R1048228" s="3"/>
      <c r="S1048228" s="3"/>
      <c r="T1048228" s="3"/>
      <c r="U1048228" s="5"/>
      <c r="V1048228" s="3"/>
    </row>
    <row r="1048229" customFormat="1" spans="1:22">
      <c r="A1048229" s="5"/>
      <c r="B1048229" s="5"/>
      <c r="C1048229" s="5"/>
      <c r="D1048229" s="3"/>
      <c r="E1048229" s="4"/>
      <c r="F1048229" s="4"/>
      <c r="G1048229" s="5"/>
      <c r="H1048229" s="5"/>
      <c r="I1048229" s="5"/>
      <c r="J1048229" s="5"/>
      <c r="K1048229" s="5"/>
      <c r="L1048229" s="5"/>
      <c r="M1048229" s="5"/>
      <c r="N1048229" s="5"/>
      <c r="O1048229" s="5"/>
      <c r="P1048229" s="3"/>
      <c r="Q1048229" s="3"/>
      <c r="R1048229" s="3"/>
      <c r="S1048229" s="3"/>
      <c r="T1048229" s="3"/>
      <c r="U1048229" s="5"/>
      <c r="V1048229" s="3"/>
    </row>
    <row r="1048230" customFormat="1" spans="1:22">
      <c r="A1048230" s="5"/>
      <c r="B1048230" s="5"/>
      <c r="C1048230" s="5"/>
      <c r="D1048230" s="3"/>
      <c r="E1048230" s="4"/>
      <c r="F1048230" s="4"/>
      <c r="G1048230" s="5"/>
      <c r="H1048230" s="5"/>
      <c r="I1048230" s="5"/>
      <c r="J1048230" s="5"/>
      <c r="K1048230" s="5"/>
      <c r="L1048230" s="5"/>
      <c r="M1048230" s="5"/>
      <c r="N1048230" s="5"/>
      <c r="O1048230" s="5"/>
      <c r="P1048230" s="3"/>
      <c r="Q1048230" s="3"/>
      <c r="R1048230" s="3"/>
      <c r="S1048230" s="3"/>
      <c r="T1048230" s="3"/>
      <c r="U1048230" s="5"/>
      <c r="V1048230" s="3"/>
    </row>
    <row r="1048231" customFormat="1" spans="1:22">
      <c r="A1048231" s="5"/>
      <c r="B1048231" s="5"/>
      <c r="C1048231" s="5"/>
      <c r="D1048231" s="3"/>
      <c r="E1048231" s="4"/>
      <c r="F1048231" s="4"/>
      <c r="G1048231" s="5"/>
      <c r="H1048231" s="5"/>
      <c r="I1048231" s="5"/>
      <c r="J1048231" s="5"/>
      <c r="K1048231" s="5"/>
      <c r="L1048231" s="5"/>
      <c r="M1048231" s="5"/>
      <c r="N1048231" s="5"/>
      <c r="O1048231" s="5"/>
      <c r="P1048231" s="3"/>
      <c r="Q1048231" s="3"/>
      <c r="R1048231" s="3"/>
      <c r="S1048231" s="3"/>
      <c r="T1048231" s="3"/>
      <c r="U1048231" s="5"/>
      <c r="V1048231" s="3"/>
    </row>
    <row r="1048232" customFormat="1" spans="1:22">
      <c r="A1048232" s="5"/>
      <c r="B1048232" s="5"/>
      <c r="C1048232" s="5"/>
      <c r="D1048232" s="3"/>
      <c r="E1048232" s="4"/>
      <c r="F1048232" s="4"/>
      <c r="G1048232" s="5"/>
      <c r="H1048232" s="5"/>
      <c r="I1048232" s="5"/>
      <c r="J1048232" s="5"/>
      <c r="K1048232" s="5"/>
      <c r="L1048232" s="5"/>
      <c r="M1048232" s="5"/>
      <c r="N1048232" s="5"/>
      <c r="O1048232" s="5"/>
      <c r="P1048232" s="3"/>
      <c r="Q1048232" s="3"/>
      <c r="R1048232" s="3"/>
      <c r="S1048232" s="3"/>
      <c r="T1048232" s="3"/>
      <c r="U1048232" s="5"/>
      <c r="V1048232" s="3"/>
    </row>
    <row r="1048233" customFormat="1" spans="1:22">
      <c r="A1048233" s="5"/>
      <c r="B1048233" s="5"/>
      <c r="C1048233" s="5"/>
      <c r="D1048233" s="3"/>
      <c r="E1048233" s="4"/>
      <c r="F1048233" s="4"/>
      <c r="G1048233" s="5"/>
      <c r="H1048233" s="5"/>
      <c r="I1048233" s="5"/>
      <c r="J1048233" s="5"/>
      <c r="K1048233" s="5"/>
      <c r="L1048233" s="5"/>
      <c r="M1048233" s="5"/>
      <c r="N1048233" s="5"/>
      <c r="O1048233" s="5"/>
      <c r="P1048233" s="3"/>
      <c r="Q1048233" s="3"/>
      <c r="R1048233" s="3"/>
      <c r="S1048233" s="3"/>
      <c r="T1048233" s="3"/>
      <c r="U1048233" s="5"/>
      <c r="V1048233" s="3"/>
    </row>
    <row r="1048234" customFormat="1" spans="1:22">
      <c r="A1048234" s="5"/>
      <c r="B1048234" s="5"/>
      <c r="C1048234" s="5"/>
      <c r="D1048234" s="3"/>
      <c r="E1048234" s="4"/>
      <c r="F1048234" s="4"/>
      <c r="G1048234" s="5"/>
      <c r="H1048234" s="5"/>
      <c r="I1048234" s="5"/>
      <c r="J1048234" s="5"/>
      <c r="K1048234" s="5"/>
      <c r="L1048234" s="5"/>
      <c r="M1048234" s="5"/>
      <c r="N1048234" s="5"/>
      <c r="O1048234" s="5"/>
      <c r="P1048234" s="3"/>
      <c r="Q1048234" s="3"/>
      <c r="R1048234" s="3"/>
      <c r="S1048234" s="3"/>
      <c r="T1048234" s="3"/>
      <c r="U1048234" s="5"/>
      <c r="V1048234" s="3"/>
    </row>
    <row r="1048235" customFormat="1" spans="1:22">
      <c r="A1048235" s="5"/>
      <c r="B1048235" s="5"/>
      <c r="C1048235" s="5"/>
      <c r="D1048235" s="3"/>
      <c r="E1048235" s="4"/>
      <c r="F1048235" s="4"/>
      <c r="G1048235" s="5"/>
      <c r="H1048235" s="5"/>
      <c r="I1048235" s="5"/>
      <c r="J1048235" s="5"/>
      <c r="K1048235" s="5"/>
      <c r="L1048235" s="5"/>
      <c r="M1048235" s="5"/>
      <c r="N1048235" s="5"/>
      <c r="O1048235" s="5"/>
      <c r="P1048235" s="3"/>
      <c r="Q1048235" s="3"/>
      <c r="R1048235" s="3"/>
      <c r="S1048235" s="3"/>
      <c r="T1048235" s="3"/>
      <c r="U1048235" s="5"/>
      <c r="V1048235" s="3"/>
    </row>
    <row r="1048236" customFormat="1" spans="1:22">
      <c r="A1048236" s="5"/>
      <c r="B1048236" s="5"/>
      <c r="C1048236" s="5"/>
      <c r="D1048236" s="3"/>
      <c r="E1048236" s="4"/>
      <c r="F1048236" s="4"/>
      <c r="G1048236" s="5"/>
      <c r="H1048236" s="5"/>
      <c r="I1048236" s="5"/>
      <c r="J1048236" s="5"/>
      <c r="K1048236" s="5"/>
      <c r="L1048236" s="5"/>
      <c r="M1048236" s="5"/>
      <c r="N1048236" s="5"/>
      <c r="O1048236" s="5"/>
      <c r="P1048236" s="3"/>
      <c r="Q1048236" s="3"/>
      <c r="R1048236" s="3"/>
      <c r="S1048236" s="3"/>
      <c r="T1048236" s="3"/>
      <c r="U1048236" s="5"/>
      <c r="V1048236" s="3"/>
    </row>
    <row r="1048237" customFormat="1" spans="1:22">
      <c r="A1048237" s="5"/>
      <c r="B1048237" s="5"/>
      <c r="C1048237" s="5"/>
      <c r="D1048237" s="3"/>
      <c r="E1048237" s="4"/>
      <c r="F1048237" s="4"/>
      <c r="G1048237" s="5"/>
      <c r="H1048237" s="5"/>
      <c r="I1048237" s="5"/>
      <c r="J1048237" s="5"/>
      <c r="K1048237" s="5"/>
      <c r="L1048237" s="5"/>
      <c r="M1048237" s="5"/>
      <c r="N1048237" s="5"/>
      <c r="O1048237" s="5"/>
      <c r="P1048237" s="3"/>
      <c r="Q1048237" s="3"/>
      <c r="R1048237" s="3"/>
      <c r="S1048237" s="3"/>
      <c r="T1048237" s="3"/>
      <c r="U1048237" s="5"/>
      <c r="V1048237" s="3"/>
    </row>
    <row r="1048238" customFormat="1" spans="1:22">
      <c r="A1048238" s="5"/>
      <c r="B1048238" s="5"/>
      <c r="C1048238" s="5"/>
      <c r="D1048238" s="3"/>
      <c r="E1048238" s="4"/>
      <c r="F1048238" s="4"/>
      <c r="G1048238" s="5"/>
      <c r="H1048238" s="5"/>
      <c r="I1048238" s="5"/>
      <c r="J1048238" s="5"/>
      <c r="K1048238" s="5"/>
      <c r="L1048238" s="5"/>
      <c r="M1048238" s="5"/>
      <c r="N1048238" s="5"/>
      <c r="O1048238" s="5"/>
      <c r="P1048238" s="3"/>
      <c r="Q1048238" s="3"/>
      <c r="R1048238" s="3"/>
      <c r="S1048238" s="3"/>
      <c r="T1048238" s="3"/>
      <c r="U1048238" s="5"/>
      <c r="V1048238" s="3"/>
    </row>
    <row r="1048239" customFormat="1" spans="1:22">
      <c r="A1048239" s="5"/>
      <c r="B1048239" s="5"/>
      <c r="C1048239" s="5"/>
      <c r="D1048239" s="3"/>
      <c r="E1048239" s="4"/>
      <c r="F1048239" s="4"/>
      <c r="G1048239" s="5"/>
      <c r="H1048239" s="5"/>
      <c r="I1048239" s="5"/>
      <c r="J1048239" s="5"/>
      <c r="K1048239" s="5"/>
      <c r="L1048239" s="5"/>
      <c r="M1048239" s="5"/>
      <c r="N1048239" s="5"/>
      <c r="O1048239" s="5"/>
      <c r="P1048239" s="3"/>
      <c r="Q1048239" s="3"/>
      <c r="R1048239" s="3"/>
      <c r="S1048239" s="3"/>
      <c r="T1048239" s="3"/>
      <c r="U1048239" s="5"/>
      <c r="V1048239" s="3"/>
    </row>
    <row r="1048240" customFormat="1" spans="1:22">
      <c r="A1048240" s="5"/>
      <c r="B1048240" s="5"/>
      <c r="C1048240" s="5"/>
      <c r="D1048240" s="3"/>
      <c r="E1048240" s="4"/>
      <c r="F1048240" s="4"/>
      <c r="G1048240" s="5"/>
      <c r="H1048240" s="5"/>
      <c r="I1048240" s="5"/>
      <c r="J1048240" s="5"/>
      <c r="K1048240" s="5"/>
      <c r="L1048240" s="5"/>
      <c r="M1048240" s="5"/>
      <c r="N1048240" s="5"/>
      <c r="O1048240" s="5"/>
      <c r="P1048240" s="3"/>
      <c r="Q1048240" s="3"/>
      <c r="R1048240" s="3"/>
      <c r="S1048240" s="3"/>
      <c r="T1048240" s="3"/>
      <c r="U1048240" s="5"/>
      <c r="V1048240" s="3"/>
    </row>
    <row r="1048241" customFormat="1" spans="1:22">
      <c r="A1048241" s="5"/>
      <c r="B1048241" s="5"/>
      <c r="C1048241" s="5"/>
      <c r="D1048241" s="3"/>
      <c r="E1048241" s="4"/>
      <c r="F1048241" s="4"/>
      <c r="G1048241" s="5"/>
      <c r="H1048241" s="5"/>
      <c r="I1048241" s="5"/>
      <c r="J1048241" s="5"/>
      <c r="K1048241" s="5"/>
      <c r="L1048241" s="5"/>
      <c r="M1048241" s="5"/>
      <c r="N1048241" s="5"/>
      <c r="O1048241" s="5"/>
      <c r="P1048241" s="3"/>
      <c r="Q1048241" s="3"/>
      <c r="R1048241" s="3"/>
      <c r="S1048241" s="3"/>
      <c r="T1048241" s="3"/>
      <c r="U1048241" s="5"/>
      <c r="V1048241" s="3"/>
    </row>
    <row r="1048242" customFormat="1" spans="1:22">
      <c r="A1048242" s="5"/>
      <c r="B1048242" s="5"/>
      <c r="C1048242" s="5"/>
      <c r="D1048242" s="3"/>
      <c r="E1048242" s="4"/>
      <c r="F1048242" s="4"/>
      <c r="G1048242" s="5"/>
      <c r="H1048242" s="5"/>
      <c r="I1048242" s="5"/>
      <c r="J1048242" s="5"/>
      <c r="K1048242" s="5"/>
      <c r="L1048242" s="5"/>
      <c r="M1048242" s="5"/>
      <c r="N1048242" s="5"/>
      <c r="O1048242" s="5"/>
      <c r="P1048242" s="3"/>
      <c r="Q1048242" s="3"/>
      <c r="R1048242" s="3"/>
      <c r="S1048242" s="3"/>
      <c r="T1048242" s="3"/>
      <c r="U1048242" s="5"/>
      <c r="V1048242" s="3"/>
    </row>
    <row r="1048243" customFormat="1" spans="1:22">
      <c r="A1048243" s="5"/>
      <c r="B1048243" s="5"/>
      <c r="C1048243" s="5"/>
      <c r="D1048243" s="3"/>
      <c r="E1048243" s="4"/>
      <c r="F1048243" s="4"/>
      <c r="G1048243" s="5"/>
      <c r="H1048243" s="5"/>
      <c r="I1048243" s="5"/>
      <c r="J1048243" s="5"/>
      <c r="K1048243" s="5"/>
      <c r="L1048243" s="5"/>
      <c r="M1048243" s="5"/>
      <c r="N1048243" s="5"/>
      <c r="O1048243" s="5"/>
      <c r="P1048243" s="3"/>
      <c r="Q1048243" s="3"/>
      <c r="R1048243" s="3"/>
      <c r="S1048243" s="3"/>
      <c r="T1048243" s="3"/>
      <c r="U1048243" s="5"/>
      <c r="V1048243" s="3"/>
    </row>
    <row r="1048244" customFormat="1" spans="1:22">
      <c r="A1048244" s="5"/>
      <c r="B1048244" s="5"/>
      <c r="C1048244" s="5"/>
      <c r="D1048244" s="3"/>
      <c r="E1048244" s="4"/>
      <c r="F1048244" s="4"/>
      <c r="G1048244" s="5"/>
      <c r="H1048244" s="5"/>
      <c r="I1048244" s="5"/>
      <c r="J1048244" s="5"/>
      <c r="K1048244" s="5"/>
      <c r="L1048244" s="5"/>
      <c r="M1048244" s="5"/>
      <c r="N1048244" s="5"/>
      <c r="O1048244" s="5"/>
      <c r="P1048244" s="3"/>
      <c r="Q1048244" s="3"/>
      <c r="R1048244" s="3"/>
      <c r="S1048244" s="3"/>
      <c r="T1048244" s="3"/>
      <c r="U1048244" s="5"/>
      <c r="V1048244" s="3"/>
    </row>
    <row r="1048245" customFormat="1" spans="1:22">
      <c r="A1048245" s="5"/>
      <c r="B1048245" s="5"/>
      <c r="C1048245" s="5"/>
      <c r="D1048245" s="3"/>
      <c r="E1048245" s="4"/>
      <c r="F1048245" s="4"/>
      <c r="G1048245" s="5"/>
      <c r="H1048245" s="5"/>
      <c r="I1048245" s="5"/>
      <c r="J1048245" s="5"/>
      <c r="K1048245" s="5"/>
      <c r="L1048245" s="5"/>
      <c r="M1048245" s="5"/>
      <c r="N1048245" s="5"/>
      <c r="O1048245" s="5"/>
      <c r="P1048245" s="3"/>
      <c r="Q1048245" s="3"/>
      <c r="R1048245" s="3"/>
      <c r="S1048245" s="3"/>
      <c r="T1048245" s="3"/>
      <c r="U1048245" s="5"/>
      <c r="V1048245" s="3"/>
    </row>
    <row r="1048246" customFormat="1" spans="1:22">
      <c r="A1048246" s="5"/>
      <c r="B1048246" s="5"/>
      <c r="C1048246" s="5"/>
      <c r="D1048246" s="3"/>
      <c r="E1048246" s="4"/>
      <c r="F1048246" s="4"/>
      <c r="G1048246" s="5"/>
      <c r="H1048246" s="5"/>
      <c r="I1048246" s="5"/>
      <c r="J1048246" s="5"/>
      <c r="K1048246" s="5"/>
      <c r="L1048246" s="5"/>
      <c r="M1048246" s="5"/>
      <c r="N1048246" s="5"/>
      <c r="O1048246" s="5"/>
      <c r="P1048246" s="3"/>
      <c r="Q1048246" s="3"/>
      <c r="R1048246" s="3"/>
      <c r="S1048246" s="3"/>
      <c r="T1048246" s="3"/>
      <c r="U1048246" s="5"/>
      <c r="V1048246" s="3"/>
    </row>
    <row r="1048247" customFormat="1" spans="1:22">
      <c r="A1048247" s="5"/>
      <c r="B1048247" s="5"/>
      <c r="C1048247" s="5"/>
      <c r="D1048247" s="3"/>
      <c r="E1048247" s="4"/>
      <c r="F1048247" s="4"/>
      <c r="G1048247" s="5"/>
      <c r="H1048247" s="5"/>
      <c r="I1048247" s="5"/>
      <c r="J1048247" s="5"/>
      <c r="K1048247" s="5"/>
      <c r="L1048247" s="5"/>
      <c r="M1048247" s="5"/>
      <c r="N1048247" s="5"/>
      <c r="O1048247" s="5"/>
      <c r="P1048247" s="3"/>
      <c r="Q1048247" s="3"/>
      <c r="R1048247" s="3"/>
      <c r="S1048247" s="3"/>
      <c r="T1048247" s="3"/>
      <c r="U1048247" s="5"/>
      <c r="V1048247" s="3"/>
    </row>
    <row r="1048248" customFormat="1" spans="1:22">
      <c r="A1048248" s="5"/>
      <c r="B1048248" s="5"/>
      <c r="C1048248" s="5"/>
      <c r="D1048248" s="3"/>
      <c r="E1048248" s="4"/>
      <c r="F1048248" s="4"/>
      <c r="G1048248" s="5"/>
      <c r="H1048248" s="5"/>
      <c r="I1048248" s="5"/>
      <c r="J1048248" s="5"/>
      <c r="K1048248" s="5"/>
      <c r="L1048248" s="5"/>
      <c r="M1048248" s="5"/>
      <c r="N1048248" s="5"/>
      <c r="O1048248" s="5"/>
      <c r="P1048248" s="3"/>
      <c r="Q1048248" s="3"/>
      <c r="R1048248" s="3"/>
      <c r="S1048248" s="3"/>
      <c r="T1048248" s="3"/>
      <c r="U1048248" s="5"/>
      <c r="V1048248" s="3"/>
    </row>
    <row r="1048249" customFormat="1" spans="1:22">
      <c r="A1048249" s="5"/>
      <c r="B1048249" s="5"/>
      <c r="C1048249" s="5"/>
      <c r="D1048249" s="3"/>
      <c r="E1048249" s="4"/>
      <c r="F1048249" s="4"/>
      <c r="G1048249" s="5"/>
      <c r="H1048249" s="5"/>
      <c r="I1048249" s="5"/>
      <c r="J1048249" s="5"/>
      <c r="K1048249" s="5"/>
      <c r="L1048249" s="5"/>
      <c r="M1048249" s="5"/>
      <c r="N1048249" s="5"/>
      <c r="O1048249" s="5"/>
      <c r="P1048249" s="3"/>
      <c r="Q1048249" s="3"/>
      <c r="R1048249" s="3"/>
      <c r="S1048249" s="3"/>
      <c r="T1048249" s="3"/>
      <c r="U1048249" s="5"/>
      <c r="V1048249" s="3"/>
    </row>
    <row r="1048250" customFormat="1" spans="1:22">
      <c r="A1048250" s="5"/>
      <c r="B1048250" s="5"/>
      <c r="C1048250" s="5"/>
      <c r="D1048250" s="3"/>
      <c r="E1048250" s="4"/>
      <c r="F1048250" s="4"/>
      <c r="G1048250" s="5"/>
      <c r="H1048250" s="5"/>
      <c r="I1048250" s="5"/>
      <c r="J1048250" s="5"/>
      <c r="K1048250" s="5"/>
      <c r="L1048250" s="5"/>
      <c r="M1048250" s="5"/>
      <c r="N1048250" s="5"/>
      <c r="O1048250" s="5"/>
      <c r="P1048250" s="3"/>
      <c r="Q1048250" s="3"/>
      <c r="R1048250" s="3"/>
      <c r="S1048250" s="3"/>
      <c r="T1048250" s="3"/>
      <c r="U1048250" s="5"/>
      <c r="V1048250" s="3"/>
    </row>
    <row r="1048251" customFormat="1" spans="1:22">
      <c r="A1048251" s="5"/>
      <c r="B1048251" s="5"/>
      <c r="C1048251" s="5"/>
      <c r="D1048251" s="3"/>
      <c r="E1048251" s="4"/>
      <c r="F1048251" s="4"/>
      <c r="G1048251" s="5"/>
      <c r="H1048251" s="5"/>
      <c r="I1048251" s="5"/>
      <c r="J1048251" s="5"/>
      <c r="K1048251" s="5"/>
      <c r="L1048251" s="5"/>
      <c r="M1048251" s="5"/>
      <c r="N1048251" s="5"/>
      <c r="O1048251" s="5"/>
      <c r="P1048251" s="3"/>
      <c r="Q1048251" s="3"/>
      <c r="R1048251" s="3"/>
      <c r="S1048251" s="3"/>
      <c r="T1048251" s="3"/>
      <c r="U1048251" s="5"/>
      <c r="V1048251" s="3"/>
    </row>
    <row r="1048252" customFormat="1" spans="1:22">
      <c r="A1048252" s="5"/>
      <c r="B1048252" s="5"/>
      <c r="C1048252" s="5"/>
      <c r="D1048252" s="3"/>
      <c r="E1048252" s="4"/>
      <c r="F1048252" s="4"/>
      <c r="G1048252" s="5"/>
      <c r="H1048252" s="5"/>
      <c r="I1048252" s="5"/>
      <c r="J1048252" s="5"/>
      <c r="K1048252" s="5"/>
      <c r="L1048252" s="5"/>
      <c r="M1048252" s="5"/>
      <c r="N1048252" s="5"/>
      <c r="O1048252" s="5"/>
      <c r="P1048252" s="3"/>
      <c r="Q1048252" s="3"/>
      <c r="R1048252" s="3"/>
      <c r="S1048252" s="3"/>
      <c r="T1048252" s="3"/>
      <c r="U1048252" s="5"/>
      <c r="V1048252" s="3"/>
    </row>
    <row r="1048253" customFormat="1" spans="1:22">
      <c r="A1048253" s="5"/>
      <c r="B1048253" s="5"/>
      <c r="C1048253" s="5"/>
      <c r="D1048253" s="3"/>
      <c r="E1048253" s="4"/>
      <c r="F1048253" s="4"/>
      <c r="G1048253" s="5"/>
      <c r="H1048253" s="5"/>
      <c r="I1048253" s="5"/>
      <c r="J1048253" s="5"/>
      <c r="K1048253" s="5"/>
      <c r="L1048253" s="5"/>
      <c r="M1048253" s="5"/>
      <c r="N1048253" s="5"/>
      <c r="O1048253" s="5"/>
      <c r="P1048253" s="3"/>
      <c r="Q1048253" s="3"/>
      <c r="R1048253" s="3"/>
      <c r="S1048253" s="3"/>
      <c r="T1048253" s="3"/>
      <c r="U1048253" s="5"/>
      <c r="V1048253" s="3"/>
    </row>
    <row r="1048254" customFormat="1" spans="1:22">
      <c r="A1048254" s="5"/>
      <c r="B1048254" s="5"/>
      <c r="C1048254" s="5"/>
      <c r="D1048254" s="3"/>
      <c r="E1048254" s="4"/>
      <c r="F1048254" s="4"/>
      <c r="G1048254" s="5"/>
      <c r="H1048254" s="5"/>
      <c r="I1048254" s="5"/>
      <c r="J1048254" s="5"/>
      <c r="K1048254" s="5"/>
      <c r="L1048254" s="5"/>
      <c r="M1048254" s="5"/>
      <c r="N1048254" s="5"/>
      <c r="O1048254" s="5"/>
      <c r="P1048254" s="3"/>
      <c r="Q1048254" s="3"/>
      <c r="R1048254" s="3"/>
      <c r="S1048254" s="3"/>
      <c r="T1048254" s="3"/>
      <c r="U1048254" s="5"/>
      <c r="V1048254" s="3"/>
    </row>
    <row r="1048255" customFormat="1" spans="1:22">
      <c r="A1048255" s="5"/>
      <c r="B1048255" s="5"/>
      <c r="C1048255" s="5"/>
      <c r="D1048255" s="3"/>
      <c r="E1048255" s="4"/>
      <c r="F1048255" s="4"/>
      <c r="G1048255" s="5"/>
      <c r="H1048255" s="5"/>
      <c r="I1048255" s="5"/>
      <c r="J1048255" s="5"/>
      <c r="K1048255" s="5"/>
      <c r="L1048255" s="5"/>
      <c r="M1048255" s="5"/>
      <c r="N1048255" s="5"/>
      <c r="O1048255" s="5"/>
      <c r="P1048255" s="3"/>
      <c r="Q1048255" s="3"/>
      <c r="R1048255" s="3"/>
      <c r="S1048255" s="3"/>
      <c r="T1048255" s="3"/>
      <c r="U1048255" s="5"/>
      <c r="V1048255" s="3"/>
    </row>
    <row r="1048256" customFormat="1" spans="1:22">
      <c r="A1048256" s="5"/>
      <c r="B1048256" s="5"/>
      <c r="C1048256" s="5"/>
      <c r="D1048256" s="3"/>
      <c r="E1048256" s="4"/>
      <c r="F1048256" s="4"/>
      <c r="G1048256" s="5"/>
      <c r="H1048256" s="5"/>
      <c r="I1048256" s="5"/>
      <c r="J1048256" s="5"/>
      <c r="K1048256" s="5"/>
      <c r="L1048256" s="5"/>
      <c r="M1048256" s="5"/>
      <c r="N1048256" s="5"/>
      <c r="O1048256" s="5"/>
      <c r="P1048256" s="3"/>
      <c r="Q1048256" s="3"/>
      <c r="R1048256" s="3"/>
      <c r="S1048256" s="3"/>
      <c r="T1048256" s="3"/>
      <c r="U1048256" s="5"/>
      <c r="V1048256" s="3"/>
    </row>
    <row r="1048257" customFormat="1" spans="1:22">
      <c r="A1048257" s="5"/>
      <c r="B1048257" s="5"/>
      <c r="C1048257" s="5"/>
      <c r="D1048257" s="3"/>
      <c r="E1048257" s="4"/>
      <c r="F1048257" s="4"/>
      <c r="G1048257" s="5"/>
      <c r="H1048257" s="5"/>
      <c r="I1048257" s="5"/>
      <c r="J1048257" s="5"/>
      <c r="K1048257" s="5"/>
      <c r="L1048257" s="5"/>
      <c r="M1048257" s="5"/>
      <c r="N1048257" s="5"/>
      <c r="O1048257" s="5"/>
      <c r="P1048257" s="3"/>
      <c r="Q1048257" s="3"/>
      <c r="R1048257" s="3"/>
      <c r="S1048257" s="3"/>
      <c r="T1048257" s="3"/>
      <c r="U1048257" s="5"/>
      <c r="V1048257" s="3"/>
    </row>
    <row r="1048258" customFormat="1" spans="1:22">
      <c r="A1048258" s="5"/>
      <c r="B1048258" s="5"/>
      <c r="C1048258" s="5"/>
      <c r="D1048258" s="3"/>
      <c r="E1048258" s="4"/>
      <c r="F1048258" s="4"/>
      <c r="G1048258" s="5"/>
      <c r="H1048258" s="5"/>
      <c r="I1048258" s="5"/>
      <c r="J1048258" s="5"/>
      <c r="K1048258" s="5"/>
      <c r="L1048258" s="5"/>
      <c r="M1048258" s="5"/>
      <c r="N1048258" s="5"/>
      <c r="O1048258" s="5"/>
      <c r="P1048258" s="3"/>
      <c r="Q1048258" s="3"/>
      <c r="R1048258" s="3"/>
      <c r="S1048258" s="3"/>
      <c r="T1048258" s="3"/>
      <c r="U1048258" s="5"/>
      <c r="V1048258" s="3"/>
    </row>
    <row r="1048259" customFormat="1" spans="1:22">
      <c r="A1048259" s="5"/>
      <c r="B1048259" s="5"/>
      <c r="C1048259" s="5"/>
      <c r="D1048259" s="3"/>
      <c r="E1048259" s="4"/>
      <c r="F1048259" s="4"/>
      <c r="G1048259" s="5"/>
      <c r="H1048259" s="5"/>
      <c r="I1048259" s="5"/>
      <c r="J1048259" s="5"/>
      <c r="K1048259" s="5"/>
      <c r="L1048259" s="5"/>
      <c r="M1048259" s="5"/>
      <c r="N1048259" s="5"/>
      <c r="O1048259" s="5"/>
      <c r="P1048259" s="3"/>
      <c r="Q1048259" s="3"/>
      <c r="R1048259" s="3"/>
      <c r="S1048259" s="3"/>
      <c r="T1048259" s="3"/>
      <c r="U1048259" s="5"/>
      <c r="V1048259" s="3"/>
    </row>
    <row r="1048260" customFormat="1" spans="1:22">
      <c r="A1048260" s="5"/>
      <c r="B1048260" s="5"/>
      <c r="C1048260" s="5"/>
      <c r="D1048260" s="3"/>
      <c r="E1048260" s="4"/>
      <c r="F1048260" s="4"/>
      <c r="G1048260" s="5"/>
      <c r="H1048260" s="5"/>
      <c r="I1048260" s="5"/>
      <c r="J1048260" s="5"/>
      <c r="K1048260" s="5"/>
      <c r="L1048260" s="5"/>
      <c r="M1048260" s="5"/>
      <c r="N1048260" s="5"/>
      <c r="O1048260" s="5"/>
      <c r="P1048260" s="3"/>
      <c r="Q1048260" s="3"/>
      <c r="R1048260" s="3"/>
      <c r="S1048260" s="3"/>
      <c r="T1048260" s="3"/>
      <c r="U1048260" s="5"/>
      <c r="V1048260" s="3"/>
    </row>
    <row r="1048261" customFormat="1" spans="1:22">
      <c r="A1048261" s="5"/>
      <c r="B1048261" s="5"/>
      <c r="C1048261" s="5"/>
      <c r="D1048261" s="3"/>
      <c r="E1048261" s="4"/>
      <c r="F1048261" s="4"/>
      <c r="G1048261" s="5"/>
      <c r="H1048261" s="5"/>
      <c r="I1048261" s="5"/>
      <c r="J1048261" s="5"/>
      <c r="K1048261" s="5"/>
      <c r="L1048261" s="5"/>
      <c r="M1048261" s="5"/>
      <c r="N1048261" s="5"/>
      <c r="O1048261" s="5"/>
      <c r="P1048261" s="3"/>
      <c r="Q1048261" s="3"/>
      <c r="R1048261" s="3"/>
      <c r="S1048261" s="3"/>
      <c r="T1048261" s="3"/>
      <c r="U1048261" s="5"/>
      <c r="V1048261" s="3"/>
    </row>
    <row r="1048262" customFormat="1" spans="1:22">
      <c r="A1048262" s="5"/>
      <c r="B1048262" s="5"/>
      <c r="C1048262" s="5"/>
      <c r="D1048262" s="3"/>
      <c r="E1048262" s="4"/>
      <c r="F1048262" s="4"/>
      <c r="G1048262" s="5"/>
      <c r="H1048262" s="5"/>
      <c r="I1048262" s="5"/>
      <c r="J1048262" s="5"/>
      <c r="K1048262" s="5"/>
      <c r="L1048262" s="5"/>
      <c r="M1048262" s="5"/>
      <c r="N1048262" s="5"/>
      <c r="O1048262" s="5"/>
      <c r="P1048262" s="3"/>
      <c r="Q1048262" s="3"/>
      <c r="R1048262" s="3"/>
      <c r="S1048262" s="3"/>
      <c r="T1048262" s="3"/>
      <c r="U1048262" s="5"/>
      <c r="V1048262" s="3"/>
    </row>
    <row r="1048263" customFormat="1" spans="1:22">
      <c r="A1048263" s="5"/>
      <c r="B1048263" s="5"/>
      <c r="C1048263" s="5"/>
      <c r="D1048263" s="3"/>
      <c r="E1048263" s="4"/>
      <c r="F1048263" s="4"/>
      <c r="G1048263" s="5"/>
      <c r="H1048263" s="5"/>
      <c r="I1048263" s="5"/>
      <c r="J1048263" s="5"/>
      <c r="K1048263" s="5"/>
      <c r="L1048263" s="5"/>
      <c r="M1048263" s="5"/>
      <c r="N1048263" s="5"/>
      <c r="O1048263" s="5"/>
      <c r="P1048263" s="3"/>
      <c r="Q1048263" s="3"/>
      <c r="R1048263" s="3"/>
      <c r="S1048263" s="3"/>
      <c r="T1048263" s="3"/>
      <c r="U1048263" s="5"/>
      <c r="V1048263" s="3"/>
    </row>
    <row r="1048264" customFormat="1" spans="1:22">
      <c r="A1048264" s="5"/>
      <c r="B1048264" s="5"/>
      <c r="C1048264" s="5"/>
      <c r="D1048264" s="3"/>
      <c r="E1048264" s="4"/>
      <c r="F1048264" s="4"/>
      <c r="G1048264" s="5"/>
      <c r="H1048264" s="5"/>
      <c r="I1048264" s="5"/>
      <c r="J1048264" s="5"/>
      <c r="K1048264" s="5"/>
      <c r="L1048264" s="5"/>
      <c r="M1048264" s="5"/>
      <c r="N1048264" s="5"/>
      <c r="O1048264" s="5"/>
      <c r="P1048264" s="3"/>
      <c r="Q1048264" s="3"/>
      <c r="R1048264" s="3"/>
      <c r="S1048264" s="3"/>
      <c r="T1048264" s="3"/>
      <c r="U1048264" s="5"/>
      <c r="V1048264" s="3"/>
    </row>
    <row r="1048265" customFormat="1" spans="1:22">
      <c r="A1048265" s="5"/>
      <c r="B1048265" s="5"/>
      <c r="C1048265" s="5"/>
      <c r="D1048265" s="3"/>
      <c r="E1048265" s="4"/>
      <c r="F1048265" s="4"/>
      <c r="G1048265" s="5"/>
      <c r="H1048265" s="5"/>
      <c r="I1048265" s="5"/>
      <c r="J1048265" s="5"/>
      <c r="K1048265" s="5"/>
      <c r="L1048265" s="5"/>
      <c r="M1048265" s="5"/>
      <c r="N1048265" s="5"/>
      <c r="O1048265" s="5"/>
      <c r="P1048265" s="3"/>
      <c r="Q1048265" s="3"/>
      <c r="R1048265" s="3"/>
      <c r="S1048265" s="3"/>
      <c r="T1048265" s="3"/>
      <c r="U1048265" s="5"/>
      <c r="V1048265" s="3"/>
    </row>
    <row r="1048266" customFormat="1" spans="1:22">
      <c r="A1048266" s="5"/>
      <c r="B1048266" s="5"/>
      <c r="C1048266" s="5"/>
      <c r="D1048266" s="3"/>
      <c r="E1048266" s="4"/>
      <c r="F1048266" s="4"/>
      <c r="G1048266" s="5"/>
      <c r="H1048266" s="5"/>
      <c r="I1048266" s="5"/>
      <c r="J1048266" s="5"/>
      <c r="K1048266" s="5"/>
      <c r="L1048266" s="5"/>
      <c r="M1048266" s="5"/>
      <c r="N1048266" s="5"/>
      <c r="O1048266" s="5"/>
      <c r="P1048266" s="3"/>
      <c r="Q1048266" s="3"/>
      <c r="R1048266" s="3"/>
      <c r="S1048266" s="3"/>
      <c r="T1048266" s="3"/>
      <c r="U1048266" s="5"/>
      <c r="V1048266" s="3"/>
    </row>
    <row r="1048267" customFormat="1" spans="1:22">
      <c r="A1048267" s="5"/>
      <c r="B1048267" s="5"/>
      <c r="C1048267" s="5"/>
      <c r="D1048267" s="3"/>
      <c r="E1048267" s="4"/>
      <c r="F1048267" s="4"/>
      <c r="G1048267" s="5"/>
      <c r="H1048267" s="5"/>
      <c r="I1048267" s="5"/>
      <c r="J1048267" s="5"/>
      <c r="K1048267" s="5"/>
      <c r="L1048267" s="5"/>
      <c r="M1048267" s="5"/>
      <c r="N1048267" s="5"/>
      <c r="O1048267" s="5"/>
      <c r="P1048267" s="3"/>
      <c r="Q1048267" s="3"/>
      <c r="R1048267" s="3"/>
      <c r="S1048267" s="3"/>
      <c r="T1048267" s="3"/>
      <c r="U1048267" s="5"/>
      <c r="V1048267" s="3"/>
    </row>
    <row r="1048268" customFormat="1" spans="1:22">
      <c r="A1048268" s="5"/>
      <c r="B1048268" s="5"/>
      <c r="C1048268" s="5"/>
      <c r="D1048268" s="3"/>
      <c r="E1048268" s="4"/>
      <c r="F1048268" s="4"/>
      <c r="G1048268" s="5"/>
      <c r="H1048268" s="5"/>
      <c r="I1048268" s="5"/>
      <c r="J1048268" s="5"/>
      <c r="K1048268" s="5"/>
      <c r="L1048268" s="5"/>
      <c r="M1048268" s="5"/>
      <c r="N1048268" s="5"/>
      <c r="O1048268" s="5"/>
      <c r="P1048268" s="3"/>
      <c r="Q1048268" s="3"/>
      <c r="R1048268" s="3"/>
      <c r="S1048268" s="3"/>
      <c r="T1048268" s="3"/>
      <c r="U1048268" s="5"/>
      <c r="V1048268" s="3"/>
    </row>
    <row r="1048269" customFormat="1" spans="1:22">
      <c r="A1048269" s="5"/>
      <c r="B1048269" s="5"/>
      <c r="C1048269" s="5"/>
      <c r="D1048269" s="3"/>
      <c r="E1048269" s="4"/>
      <c r="F1048269" s="4"/>
      <c r="G1048269" s="5"/>
      <c r="H1048269" s="5"/>
      <c r="I1048269" s="5"/>
      <c r="J1048269" s="5"/>
      <c r="K1048269" s="5"/>
      <c r="L1048269" s="5"/>
      <c r="M1048269" s="5"/>
      <c r="N1048269" s="5"/>
      <c r="O1048269" s="5"/>
      <c r="P1048269" s="3"/>
      <c r="Q1048269" s="3"/>
      <c r="R1048269" s="3"/>
      <c r="S1048269" s="3"/>
      <c r="T1048269" s="3"/>
      <c r="U1048269" s="5"/>
      <c r="V1048269" s="3"/>
    </row>
    <row r="1048270" customFormat="1" spans="1:22">
      <c r="A1048270" s="5"/>
      <c r="B1048270" s="5"/>
      <c r="C1048270" s="5"/>
      <c r="D1048270" s="3"/>
      <c r="E1048270" s="4"/>
      <c r="F1048270" s="4"/>
      <c r="G1048270" s="5"/>
      <c r="H1048270" s="5"/>
      <c r="I1048270" s="5"/>
      <c r="J1048270" s="5"/>
      <c r="K1048270" s="5"/>
      <c r="L1048270" s="5"/>
      <c r="M1048270" s="5"/>
      <c r="N1048270" s="5"/>
      <c r="O1048270" s="5"/>
      <c r="P1048270" s="3"/>
      <c r="Q1048270" s="3"/>
      <c r="R1048270" s="3"/>
      <c r="S1048270" s="3"/>
      <c r="T1048270" s="3"/>
      <c r="U1048270" s="5"/>
      <c r="V1048270" s="3"/>
    </row>
    <row r="1048271" customFormat="1" spans="1:22">
      <c r="A1048271" s="5"/>
      <c r="B1048271" s="5"/>
      <c r="C1048271" s="5"/>
      <c r="D1048271" s="3"/>
      <c r="E1048271" s="4"/>
      <c r="F1048271" s="4"/>
      <c r="G1048271" s="5"/>
      <c r="H1048271" s="5"/>
      <c r="I1048271" s="5"/>
      <c r="J1048271" s="5"/>
      <c r="K1048271" s="5"/>
      <c r="L1048271" s="5"/>
      <c r="M1048271" s="5"/>
      <c r="N1048271" s="5"/>
      <c r="O1048271" s="5"/>
      <c r="P1048271" s="3"/>
      <c r="Q1048271" s="3"/>
      <c r="R1048271" s="3"/>
      <c r="S1048271" s="3"/>
      <c r="T1048271" s="3"/>
      <c r="U1048271" s="5"/>
      <c r="V1048271" s="3"/>
    </row>
    <row r="1048272" customFormat="1" spans="1:22">
      <c r="A1048272" s="5"/>
      <c r="B1048272" s="5"/>
      <c r="C1048272" s="5"/>
      <c r="D1048272" s="3"/>
      <c r="E1048272" s="4"/>
      <c r="F1048272" s="4"/>
      <c r="G1048272" s="5"/>
      <c r="H1048272" s="5"/>
      <c r="I1048272" s="5"/>
      <c r="J1048272" s="5"/>
      <c r="K1048272" s="5"/>
      <c r="L1048272" s="5"/>
      <c r="M1048272" s="5"/>
      <c r="N1048272" s="5"/>
      <c r="O1048272" s="5"/>
      <c r="P1048272" s="3"/>
      <c r="Q1048272" s="3"/>
      <c r="R1048272" s="3"/>
      <c r="S1048272" s="3"/>
      <c r="T1048272" s="3"/>
      <c r="U1048272" s="5"/>
      <c r="V1048272" s="3"/>
    </row>
    <row r="1048273" customFormat="1" spans="1:22">
      <c r="A1048273" s="5"/>
      <c r="B1048273" s="5"/>
      <c r="C1048273" s="5"/>
      <c r="D1048273" s="3"/>
      <c r="E1048273" s="4"/>
      <c r="F1048273" s="4"/>
      <c r="G1048273" s="5"/>
      <c r="H1048273" s="5"/>
      <c r="I1048273" s="5"/>
      <c r="J1048273" s="5"/>
      <c r="K1048273" s="5"/>
      <c r="L1048273" s="5"/>
      <c r="M1048273" s="5"/>
      <c r="N1048273" s="5"/>
      <c r="O1048273" s="5"/>
      <c r="P1048273" s="3"/>
      <c r="Q1048273" s="3"/>
      <c r="R1048273" s="3"/>
      <c r="S1048273" s="3"/>
      <c r="T1048273" s="3"/>
      <c r="U1048273" s="5"/>
      <c r="V1048273" s="3"/>
    </row>
    <row r="1048274" customFormat="1" spans="1:22">
      <c r="A1048274" s="5"/>
      <c r="B1048274" s="5"/>
      <c r="C1048274" s="5"/>
      <c r="D1048274" s="3"/>
      <c r="E1048274" s="4"/>
      <c r="F1048274" s="4"/>
      <c r="G1048274" s="5"/>
      <c r="H1048274" s="5"/>
      <c r="I1048274" s="5"/>
      <c r="J1048274" s="5"/>
      <c r="K1048274" s="5"/>
      <c r="L1048274" s="5"/>
      <c r="M1048274" s="5"/>
      <c r="N1048274" s="5"/>
      <c r="O1048274" s="5"/>
      <c r="P1048274" s="3"/>
      <c r="Q1048274" s="3"/>
      <c r="R1048274" s="3"/>
      <c r="S1048274" s="3"/>
      <c r="T1048274" s="3"/>
      <c r="U1048274" s="5"/>
      <c r="V1048274" s="3"/>
    </row>
    <row r="1048275" customFormat="1" spans="1:22">
      <c r="A1048275" s="5"/>
      <c r="B1048275" s="5"/>
      <c r="C1048275" s="5"/>
      <c r="D1048275" s="3"/>
      <c r="E1048275" s="4"/>
      <c r="F1048275" s="4"/>
      <c r="G1048275" s="5"/>
      <c r="H1048275" s="5"/>
      <c r="I1048275" s="5"/>
      <c r="J1048275" s="5"/>
      <c r="K1048275" s="5"/>
      <c r="L1048275" s="5"/>
      <c r="M1048275" s="5"/>
      <c r="N1048275" s="5"/>
      <c r="O1048275" s="5"/>
      <c r="P1048275" s="3"/>
      <c r="Q1048275" s="3"/>
      <c r="R1048275" s="3"/>
      <c r="S1048275" s="3"/>
      <c r="T1048275" s="3"/>
      <c r="U1048275" s="5"/>
      <c r="V1048275" s="3"/>
    </row>
    <row r="1048276" customFormat="1" spans="1:22">
      <c r="A1048276" s="5"/>
      <c r="B1048276" s="5"/>
      <c r="C1048276" s="5"/>
      <c r="D1048276" s="3"/>
      <c r="E1048276" s="4"/>
      <c r="F1048276" s="4"/>
      <c r="G1048276" s="5"/>
      <c r="H1048276" s="5"/>
      <c r="I1048276" s="5"/>
      <c r="J1048276" s="5"/>
      <c r="K1048276" s="5"/>
      <c r="L1048276" s="5"/>
      <c r="M1048276" s="5"/>
      <c r="N1048276" s="5"/>
      <c r="O1048276" s="5"/>
      <c r="P1048276" s="3"/>
      <c r="Q1048276" s="3"/>
      <c r="R1048276" s="3"/>
      <c r="S1048276" s="3"/>
      <c r="T1048276" s="3"/>
      <c r="U1048276" s="5"/>
      <c r="V1048276" s="3"/>
    </row>
    <row r="1048277" customFormat="1" spans="1:22">
      <c r="A1048277" s="5"/>
      <c r="B1048277" s="5"/>
      <c r="C1048277" s="5"/>
      <c r="D1048277" s="3"/>
      <c r="E1048277" s="4"/>
      <c r="F1048277" s="4"/>
      <c r="G1048277" s="5"/>
      <c r="H1048277" s="5"/>
      <c r="I1048277" s="5"/>
      <c r="J1048277" s="5"/>
      <c r="K1048277" s="5"/>
      <c r="L1048277" s="5"/>
      <c r="M1048277" s="5"/>
      <c r="N1048277" s="5"/>
      <c r="O1048277" s="5"/>
      <c r="P1048277" s="3"/>
      <c r="Q1048277" s="3"/>
      <c r="R1048277" s="3"/>
      <c r="S1048277" s="3"/>
      <c r="T1048277" s="3"/>
      <c r="U1048277" s="5"/>
      <c r="V1048277" s="3"/>
    </row>
    <row r="1048278" customFormat="1" spans="1:22">
      <c r="A1048278" s="5"/>
      <c r="B1048278" s="5"/>
      <c r="C1048278" s="5"/>
      <c r="D1048278" s="3"/>
      <c r="E1048278" s="4"/>
      <c r="F1048278" s="4"/>
      <c r="G1048278" s="5"/>
      <c r="H1048278" s="5"/>
      <c r="I1048278" s="5"/>
      <c r="J1048278" s="5"/>
      <c r="K1048278" s="5"/>
      <c r="L1048278" s="5"/>
      <c r="M1048278" s="5"/>
      <c r="N1048278" s="5"/>
      <c r="O1048278" s="5"/>
      <c r="P1048278" s="3"/>
      <c r="Q1048278" s="3"/>
      <c r="R1048278" s="3"/>
      <c r="S1048278" s="3"/>
      <c r="T1048278" s="3"/>
      <c r="U1048278" s="5"/>
      <c r="V1048278" s="3"/>
    </row>
    <row r="1048279" customFormat="1" spans="1:22">
      <c r="A1048279" s="5"/>
      <c r="B1048279" s="5"/>
      <c r="C1048279" s="5"/>
      <c r="D1048279" s="3"/>
      <c r="E1048279" s="4"/>
      <c r="F1048279" s="4"/>
      <c r="G1048279" s="5"/>
      <c r="H1048279" s="5"/>
      <c r="I1048279" s="5"/>
      <c r="J1048279" s="5"/>
      <c r="K1048279" s="5"/>
      <c r="L1048279" s="5"/>
      <c r="M1048279" s="5"/>
      <c r="N1048279" s="5"/>
      <c r="O1048279" s="5"/>
      <c r="P1048279" s="3"/>
      <c r="Q1048279" s="3"/>
      <c r="R1048279" s="3"/>
      <c r="S1048279" s="3"/>
      <c r="T1048279" s="3"/>
      <c r="U1048279" s="5"/>
      <c r="V1048279" s="3"/>
    </row>
    <row r="1048280" customFormat="1" spans="1:22">
      <c r="A1048280" s="5"/>
      <c r="B1048280" s="5"/>
      <c r="C1048280" s="5"/>
      <c r="D1048280" s="3"/>
      <c r="E1048280" s="4"/>
      <c r="F1048280" s="4"/>
      <c r="G1048280" s="5"/>
      <c r="H1048280" s="5"/>
      <c r="I1048280" s="5"/>
      <c r="J1048280" s="5"/>
      <c r="K1048280" s="5"/>
      <c r="L1048280" s="5"/>
      <c r="M1048280" s="5"/>
      <c r="N1048280" s="5"/>
      <c r="O1048280" s="5"/>
      <c r="P1048280" s="3"/>
      <c r="Q1048280" s="3"/>
      <c r="R1048280" s="3"/>
      <c r="S1048280" s="3"/>
      <c r="T1048280" s="3"/>
      <c r="U1048280" s="5"/>
      <c r="V1048280" s="3"/>
    </row>
    <row r="1048281" customFormat="1" spans="1:22">
      <c r="A1048281" s="5"/>
      <c r="B1048281" s="5"/>
      <c r="C1048281" s="5"/>
      <c r="D1048281" s="3"/>
      <c r="E1048281" s="4"/>
      <c r="F1048281" s="4"/>
      <c r="G1048281" s="5"/>
      <c r="H1048281" s="5"/>
      <c r="I1048281" s="5"/>
      <c r="J1048281" s="5"/>
      <c r="K1048281" s="5"/>
      <c r="L1048281" s="5"/>
      <c r="M1048281" s="5"/>
      <c r="N1048281" s="5"/>
      <c r="O1048281" s="5"/>
      <c r="P1048281" s="3"/>
      <c r="Q1048281" s="3"/>
      <c r="R1048281" s="3"/>
      <c r="S1048281" s="3"/>
      <c r="T1048281" s="3"/>
      <c r="U1048281" s="5"/>
      <c r="V1048281" s="3"/>
    </row>
    <row r="1048282" customFormat="1" spans="1:22">
      <c r="A1048282" s="5"/>
      <c r="B1048282" s="5"/>
      <c r="C1048282" s="5"/>
      <c r="D1048282" s="3"/>
      <c r="E1048282" s="4"/>
      <c r="F1048282" s="4"/>
      <c r="G1048282" s="5"/>
      <c r="H1048282" s="5"/>
      <c r="I1048282" s="5"/>
      <c r="J1048282" s="5"/>
      <c r="K1048282" s="5"/>
      <c r="L1048282" s="5"/>
      <c r="M1048282" s="5"/>
      <c r="N1048282" s="5"/>
      <c r="O1048282" s="5"/>
      <c r="P1048282" s="3"/>
      <c r="Q1048282" s="3"/>
      <c r="R1048282" s="3"/>
      <c r="S1048282" s="3"/>
      <c r="T1048282" s="3"/>
      <c r="U1048282" s="5"/>
      <c r="V1048282" s="3"/>
    </row>
    <row r="1048283" customFormat="1" spans="1:22">
      <c r="A1048283" s="5"/>
      <c r="B1048283" s="5"/>
      <c r="C1048283" s="5"/>
      <c r="D1048283" s="3"/>
      <c r="E1048283" s="4"/>
      <c r="F1048283" s="4"/>
      <c r="G1048283" s="5"/>
      <c r="H1048283" s="5"/>
      <c r="I1048283" s="5"/>
      <c r="J1048283" s="5"/>
      <c r="K1048283" s="5"/>
      <c r="L1048283" s="5"/>
      <c r="M1048283" s="5"/>
      <c r="N1048283" s="5"/>
      <c r="O1048283" s="5"/>
      <c r="P1048283" s="3"/>
      <c r="Q1048283" s="3"/>
      <c r="R1048283" s="3"/>
      <c r="S1048283" s="3"/>
      <c r="T1048283" s="3"/>
      <c r="U1048283" s="5"/>
      <c r="V1048283" s="3"/>
    </row>
    <row r="1048284" customFormat="1" spans="1:22">
      <c r="A1048284" s="5"/>
      <c r="B1048284" s="5"/>
      <c r="C1048284" s="5"/>
      <c r="D1048284" s="3"/>
      <c r="E1048284" s="4"/>
      <c r="F1048284" s="4"/>
      <c r="G1048284" s="5"/>
      <c r="H1048284" s="5"/>
      <c r="I1048284" s="5"/>
      <c r="J1048284" s="5"/>
      <c r="K1048284" s="5"/>
      <c r="L1048284" s="5"/>
      <c r="M1048284" s="5"/>
      <c r="N1048284" s="5"/>
      <c r="O1048284" s="5"/>
      <c r="P1048284" s="3"/>
      <c r="Q1048284" s="3"/>
      <c r="R1048284" s="3"/>
      <c r="S1048284" s="3"/>
      <c r="T1048284" s="3"/>
      <c r="U1048284" s="5"/>
      <c r="V1048284" s="3"/>
    </row>
    <row r="1048285" customFormat="1" spans="1:22">
      <c r="A1048285" s="5"/>
      <c r="B1048285" s="5"/>
      <c r="C1048285" s="5"/>
      <c r="D1048285" s="3"/>
      <c r="E1048285" s="4"/>
      <c r="F1048285" s="4"/>
      <c r="G1048285" s="5"/>
      <c r="H1048285" s="5"/>
      <c r="I1048285" s="5"/>
      <c r="J1048285" s="5"/>
      <c r="K1048285" s="5"/>
      <c r="L1048285" s="5"/>
      <c r="M1048285" s="5"/>
      <c r="N1048285" s="5"/>
      <c r="O1048285" s="5"/>
      <c r="P1048285" s="3"/>
      <c r="Q1048285" s="3"/>
      <c r="R1048285" s="3"/>
      <c r="S1048285" s="3"/>
      <c r="T1048285" s="3"/>
      <c r="U1048285" s="5"/>
      <c r="V1048285" s="3"/>
    </row>
    <row r="1048286" customFormat="1" spans="1:22">
      <c r="A1048286" s="5"/>
      <c r="B1048286" s="5"/>
      <c r="C1048286" s="5"/>
      <c r="D1048286" s="3"/>
      <c r="E1048286" s="4"/>
      <c r="F1048286" s="4"/>
      <c r="G1048286" s="5"/>
      <c r="H1048286" s="5"/>
      <c r="I1048286" s="5"/>
      <c r="J1048286" s="5"/>
      <c r="K1048286" s="5"/>
      <c r="L1048286" s="5"/>
      <c r="M1048286" s="5"/>
      <c r="N1048286" s="5"/>
      <c r="O1048286" s="5"/>
      <c r="P1048286" s="3"/>
      <c r="Q1048286" s="3"/>
      <c r="R1048286" s="3"/>
      <c r="S1048286" s="3"/>
      <c r="T1048286" s="3"/>
      <c r="U1048286" s="5"/>
      <c r="V1048286" s="3"/>
    </row>
    <row r="1048287" customFormat="1" spans="1:22">
      <c r="A1048287" s="5"/>
      <c r="B1048287" s="5"/>
      <c r="C1048287" s="5"/>
      <c r="D1048287" s="3"/>
      <c r="E1048287" s="4"/>
      <c r="F1048287" s="4"/>
      <c r="G1048287" s="5"/>
      <c r="H1048287" s="5"/>
      <c r="I1048287" s="5"/>
      <c r="J1048287" s="5"/>
      <c r="K1048287" s="5"/>
      <c r="L1048287" s="5"/>
      <c r="M1048287" s="5"/>
      <c r="N1048287" s="5"/>
      <c r="O1048287" s="5"/>
      <c r="P1048287" s="3"/>
      <c r="Q1048287" s="3"/>
      <c r="R1048287" s="3"/>
      <c r="S1048287" s="3"/>
      <c r="T1048287" s="3"/>
      <c r="U1048287" s="5"/>
      <c r="V1048287" s="3"/>
    </row>
    <row r="1048288" customFormat="1" spans="1:22">
      <c r="A1048288" s="5"/>
      <c r="B1048288" s="5"/>
      <c r="C1048288" s="5"/>
      <c r="D1048288" s="3"/>
      <c r="E1048288" s="4"/>
      <c r="F1048288" s="4"/>
      <c r="G1048288" s="5"/>
      <c r="H1048288" s="5"/>
      <c r="I1048288" s="5"/>
      <c r="J1048288" s="5"/>
      <c r="K1048288" s="5"/>
      <c r="L1048288" s="5"/>
      <c r="M1048288" s="5"/>
      <c r="N1048288" s="5"/>
      <c r="O1048288" s="5"/>
      <c r="P1048288" s="3"/>
      <c r="Q1048288" s="3"/>
      <c r="R1048288" s="3"/>
      <c r="S1048288" s="3"/>
      <c r="T1048288" s="3"/>
      <c r="U1048288" s="5"/>
      <c r="V1048288" s="3"/>
    </row>
    <row r="1048289" customFormat="1" spans="1:22">
      <c r="A1048289" s="5"/>
      <c r="B1048289" s="5"/>
      <c r="C1048289" s="5"/>
      <c r="D1048289" s="3"/>
      <c r="E1048289" s="4"/>
      <c r="F1048289" s="4"/>
      <c r="G1048289" s="5"/>
      <c r="H1048289" s="5"/>
      <c r="I1048289" s="5"/>
      <c r="J1048289" s="5"/>
      <c r="K1048289" s="5"/>
      <c r="L1048289" s="5"/>
      <c r="M1048289" s="5"/>
      <c r="N1048289" s="5"/>
      <c r="O1048289" s="5"/>
      <c r="P1048289" s="3"/>
      <c r="Q1048289" s="3"/>
      <c r="R1048289" s="3"/>
      <c r="S1048289" s="3"/>
      <c r="T1048289" s="3"/>
      <c r="U1048289" s="5"/>
      <c r="V1048289" s="3"/>
    </row>
    <row r="1048290" customFormat="1" spans="1:22">
      <c r="A1048290" s="5"/>
      <c r="B1048290" s="5"/>
      <c r="C1048290" s="5"/>
      <c r="D1048290" s="3"/>
      <c r="E1048290" s="4"/>
      <c r="F1048290" s="4"/>
      <c r="G1048290" s="5"/>
      <c r="H1048290" s="5"/>
      <c r="I1048290" s="5"/>
      <c r="J1048290" s="5"/>
      <c r="K1048290" s="5"/>
      <c r="L1048290" s="5"/>
      <c r="M1048290" s="5"/>
      <c r="N1048290" s="5"/>
      <c r="O1048290" s="5"/>
      <c r="P1048290" s="3"/>
      <c r="Q1048290" s="3"/>
      <c r="R1048290" s="3"/>
      <c r="S1048290" s="3"/>
      <c r="T1048290" s="3"/>
      <c r="U1048290" s="5"/>
      <c r="V1048290" s="3"/>
    </row>
    <row r="1048291" customFormat="1" spans="1:22">
      <c r="A1048291" s="5"/>
      <c r="B1048291" s="5"/>
      <c r="C1048291" s="5"/>
      <c r="D1048291" s="3"/>
      <c r="E1048291" s="4"/>
      <c r="F1048291" s="4"/>
      <c r="G1048291" s="5"/>
      <c r="H1048291" s="5"/>
      <c r="I1048291" s="5"/>
      <c r="J1048291" s="5"/>
      <c r="K1048291" s="5"/>
      <c r="L1048291" s="5"/>
      <c r="M1048291" s="5"/>
      <c r="N1048291" s="5"/>
      <c r="O1048291" s="5"/>
      <c r="P1048291" s="3"/>
      <c r="Q1048291" s="3"/>
      <c r="R1048291" s="3"/>
      <c r="S1048291" s="3"/>
      <c r="T1048291" s="3"/>
      <c r="U1048291" s="5"/>
      <c r="V1048291" s="3"/>
    </row>
    <row r="1048292" customFormat="1" spans="1:22">
      <c r="A1048292" s="5"/>
      <c r="B1048292" s="5"/>
      <c r="C1048292" s="5"/>
      <c r="D1048292" s="3"/>
      <c r="E1048292" s="4"/>
      <c r="F1048292" s="4"/>
      <c r="G1048292" s="5"/>
      <c r="H1048292" s="5"/>
      <c r="I1048292" s="5"/>
      <c r="J1048292" s="5"/>
      <c r="K1048292" s="5"/>
      <c r="L1048292" s="5"/>
      <c r="M1048292" s="5"/>
      <c r="N1048292" s="5"/>
      <c r="O1048292" s="5"/>
      <c r="P1048292" s="3"/>
      <c r="Q1048292" s="3"/>
      <c r="R1048292" s="3"/>
      <c r="S1048292" s="3"/>
      <c r="T1048292" s="3"/>
      <c r="U1048292" s="5"/>
      <c r="V1048292" s="3"/>
    </row>
    <row r="1048293" customFormat="1" spans="1:22">
      <c r="A1048293" s="5"/>
      <c r="B1048293" s="5"/>
      <c r="C1048293" s="5"/>
      <c r="D1048293" s="3"/>
      <c r="E1048293" s="4"/>
      <c r="F1048293" s="4"/>
      <c r="G1048293" s="5"/>
      <c r="H1048293" s="5"/>
      <c r="I1048293" s="5"/>
      <c r="J1048293" s="5"/>
      <c r="K1048293" s="5"/>
      <c r="L1048293" s="5"/>
      <c r="M1048293" s="5"/>
      <c r="N1048293" s="5"/>
      <c r="O1048293" s="5"/>
      <c r="P1048293" s="3"/>
      <c r="Q1048293" s="3"/>
      <c r="R1048293" s="3"/>
      <c r="S1048293" s="3"/>
      <c r="T1048293" s="3"/>
      <c r="U1048293" s="5"/>
      <c r="V1048293" s="3"/>
    </row>
    <row r="1048294" customFormat="1" spans="1:22">
      <c r="A1048294" s="5"/>
      <c r="B1048294" s="5"/>
      <c r="C1048294" s="5"/>
      <c r="D1048294" s="3"/>
      <c r="E1048294" s="4"/>
      <c r="F1048294" s="4"/>
      <c r="G1048294" s="5"/>
      <c r="H1048294" s="5"/>
      <c r="I1048294" s="5"/>
      <c r="J1048294" s="5"/>
      <c r="K1048294" s="5"/>
      <c r="L1048294" s="5"/>
      <c r="M1048294" s="5"/>
      <c r="N1048294" s="5"/>
      <c r="O1048294" s="5"/>
      <c r="P1048294" s="3"/>
      <c r="Q1048294" s="3"/>
      <c r="R1048294" s="3"/>
      <c r="S1048294" s="3"/>
      <c r="T1048294" s="3"/>
      <c r="U1048294" s="5"/>
      <c r="V1048294" s="3"/>
    </row>
    <row r="1048295" customFormat="1" spans="1:22">
      <c r="A1048295" s="5"/>
      <c r="B1048295" s="5"/>
      <c r="C1048295" s="5"/>
      <c r="D1048295" s="3"/>
      <c r="E1048295" s="4"/>
      <c r="F1048295" s="4"/>
      <c r="G1048295" s="5"/>
      <c r="H1048295" s="5"/>
      <c r="I1048295" s="5"/>
      <c r="J1048295" s="5"/>
      <c r="K1048295" s="5"/>
      <c r="L1048295" s="5"/>
      <c r="M1048295" s="5"/>
      <c r="N1048295" s="5"/>
      <c r="O1048295" s="5"/>
      <c r="P1048295" s="3"/>
      <c r="Q1048295" s="3"/>
      <c r="R1048295" s="3"/>
      <c r="S1048295" s="3"/>
      <c r="T1048295" s="3"/>
      <c r="U1048295" s="5"/>
      <c r="V1048295" s="3"/>
    </row>
    <row r="1048296" customFormat="1" spans="1:22">
      <c r="A1048296" s="5"/>
      <c r="B1048296" s="5"/>
      <c r="C1048296" s="5"/>
      <c r="D1048296" s="3"/>
      <c r="E1048296" s="4"/>
      <c r="F1048296" s="4"/>
      <c r="G1048296" s="5"/>
      <c r="H1048296" s="5"/>
      <c r="I1048296" s="5"/>
      <c r="J1048296" s="5"/>
      <c r="K1048296" s="5"/>
      <c r="L1048296" s="5"/>
      <c r="M1048296" s="5"/>
      <c r="N1048296" s="5"/>
      <c r="O1048296" s="5"/>
      <c r="P1048296" s="3"/>
      <c r="Q1048296" s="3"/>
      <c r="R1048296" s="3"/>
      <c r="S1048296" s="3"/>
      <c r="T1048296" s="3"/>
      <c r="U1048296" s="5"/>
      <c r="V1048296" s="3"/>
    </row>
    <row r="1048297" customFormat="1" spans="1:22">
      <c r="A1048297" s="5"/>
      <c r="B1048297" s="5"/>
      <c r="C1048297" s="5"/>
      <c r="D1048297" s="3"/>
      <c r="E1048297" s="4"/>
      <c r="F1048297" s="4"/>
      <c r="G1048297" s="5"/>
      <c r="H1048297" s="5"/>
      <c r="I1048297" s="5"/>
      <c r="J1048297" s="5"/>
      <c r="K1048297" s="5"/>
      <c r="L1048297" s="5"/>
      <c r="M1048297" s="5"/>
      <c r="N1048297" s="5"/>
      <c r="O1048297" s="5"/>
      <c r="P1048297" s="3"/>
      <c r="Q1048297" s="3"/>
      <c r="R1048297" s="3"/>
      <c r="S1048297" s="3"/>
      <c r="T1048297" s="3"/>
      <c r="U1048297" s="5"/>
      <c r="V1048297" s="3"/>
    </row>
    <row r="1048298" customFormat="1" spans="1:22">
      <c r="A1048298" s="5"/>
      <c r="B1048298" s="5"/>
      <c r="C1048298" s="5"/>
      <c r="D1048298" s="3"/>
      <c r="E1048298" s="4"/>
      <c r="F1048298" s="4"/>
      <c r="G1048298" s="5"/>
      <c r="H1048298" s="5"/>
      <c r="I1048298" s="5"/>
      <c r="J1048298" s="5"/>
      <c r="K1048298" s="5"/>
      <c r="L1048298" s="5"/>
      <c r="M1048298" s="5"/>
      <c r="N1048298" s="5"/>
      <c r="O1048298" s="5"/>
      <c r="P1048298" s="3"/>
      <c r="Q1048298" s="3"/>
      <c r="R1048298" s="3"/>
      <c r="S1048298" s="3"/>
      <c r="T1048298" s="3"/>
      <c r="U1048298" s="5"/>
      <c r="V1048298" s="3"/>
    </row>
    <row r="1048299" customFormat="1" spans="1:22">
      <c r="A1048299" s="5"/>
      <c r="B1048299" s="5"/>
      <c r="C1048299" s="5"/>
      <c r="D1048299" s="3"/>
      <c r="E1048299" s="4"/>
      <c r="F1048299" s="4"/>
      <c r="G1048299" s="5"/>
      <c r="H1048299" s="5"/>
      <c r="I1048299" s="5"/>
      <c r="J1048299" s="5"/>
      <c r="K1048299" s="5"/>
      <c r="L1048299" s="5"/>
      <c r="M1048299" s="5"/>
      <c r="N1048299" s="5"/>
      <c r="O1048299" s="5"/>
      <c r="P1048299" s="3"/>
      <c r="Q1048299" s="3"/>
      <c r="R1048299" s="3"/>
      <c r="S1048299" s="3"/>
      <c r="T1048299" s="3"/>
      <c r="U1048299" s="5"/>
      <c r="V1048299" s="3"/>
    </row>
    <row r="1048300" customFormat="1" spans="1:22">
      <c r="A1048300" s="5"/>
      <c r="B1048300" s="5"/>
      <c r="C1048300" s="5"/>
      <c r="D1048300" s="3"/>
      <c r="E1048300" s="4"/>
      <c r="F1048300" s="4"/>
      <c r="G1048300" s="5"/>
      <c r="H1048300" s="5"/>
      <c r="I1048300" s="5"/>
      <c r="J1048300" s="5"/>
      <c r="K1048300" s="5"/>
      <c r="L1048300" s="5"/>
      <c r="M1048300" s="5"/>
      <c r="N1048300" s="5"/>
      <c r="O1048300" s="5"/>
      <c r="P1048300" s="3"/>
      <c r="Q1048300" s="3"/>
      <c r="R1048300" s="3"/>
      <c r="S1048300" s="3"/>
      <c r="T1048300" s="3"/>
      <c r="U1048300" s="5"/>
      <c r="V1048300" s="3"/>
    </row>
    <row r="1048301" customFormat="1" spans="1:22">
      <c r="A1048301" s="5"/>
      <c r="B1048301" s="5"/>
      <c r="C1048301" s="5"/>
      <c r="D1048301" s="3"/>
      <c r="E1048301" s="4"/>
      <c r="F1048301" s="4"/>
      <c r="G1048301" s="5"/>
      <c r="H1048301" s="5"/>
      <c r="I1048301" s="5"/>
      <c r="J1048301" s="5"/>
      <c r="K1048301" s="5"/>
      <c r="L1048301" s="5"/>
      <c r="M1048301" s="5"/>
      <c r="N1048301" s="5"/>
      <c r="O1048301" s="5"/>
      <c r="P1048301" s="3"/>
      <c r="Q1048301" s="3"/>
      <c r="R1048301" s="3"/>
      <c r="S1048301" s="3"/>
      <c r="T1048301" s="3"/>
      <c r="U1048301" s="5"/>
      <c r="V1048301" s="3"/>
    </row>
    <row r="1048302" customFormat="1" spans="1:22">
      <c r="A1048302" s="5"/>
      <c r="B1048302" s="5"/>
      <c r="C1048302" s="5"/>
      <c r="D1048302" s="3"/>
      <c r="E1048302" s="4"/>
      <c r="F1048302" s="4"/>
      <c r="G1048302" s="5"/>
      <c r="H1048302" s="5"/>
      <c r="I1048302" s="5"/>
      <c r="J1048302" s="5"/>
      <c r="K1048302" s="5"/>
      <c r="L1048302" s="5"/>
      <c r="M1048302" s="5"/>
      <c r="N1048302" s="5"/>
      <c r="O1048302" s="5"/>
      <c r="P1048302" s="3"/>
      <c r="Q1048302" s="3"/>
      <c r="R1048302" s="3"/>
      <c r="S1048302" s="3"/>
      <c r="T1048302" s="3"/>
      <c r="U1048302" s="5"/>
      <c r="V1048302" s="3"/>
    </row>
    <row r="1048303" customFormat="1" spans="1:22">
      <c r="A1048303" s="5"/>
      <c r="B1048303" s="5"/>
      <c r="C1048303" s="5"/>
      <c r="D1048303" s="3"/>
      <c r="E1048303" s="4"/>
      <c r="F1048303" s="4"/>
      <c r="G1048303" s="5"/>
      <c r="H1048303" s="5"/>
      <c r="I1048303" s="5"/>
      <c r="J1048303" s="5"/>
      <c r="K1048303" s="5"/>
      <c r="L1048303" s="5"/>
      <c r="M1048303" s="5"/>
      <c r="N1048303" s="5"/>
      <c r="O1048303" s="5"/>
      <c r="P1048303" s="3"/>
      <c r="Q1048303" s="3"/>
      <c r="R1048303" s="3"/>
      <c r="S1048303" s="3"/>
      <c r="T1048303" s="3"/>
      <c r="U1048303" s="5"/>
      <c r="V1048303" s="3"/>
    </row>
    <row r="1048304" customFormat="1" spans="1:22">
      <c r="A1048304" s="5"/>
      <c r="B1048304" s="5"/>
      <c r="C1048304" s="5"/>
      <c r="D1048304" s="3"/>
      <c r="E1048304" s="4"/>
      <c r="F1048304" s="4"/>
      <c r="G1048304" s="5"/>
      <c r="H1048304" s="5"/>
      <c r="I1048304" s="5"/>
      <c r="J1048304" s="5"/>
      <c r="K1048304" s="5"/>
      <c r="L1048304" s="5"/>
      <c r="M1048304" s="5"/>
      <c r="N1048304" s="5"/>
      <c r="O1048304" s="5"/>
      <c r="P1048304" s="3"/>
      <c r="Q1048304" s="3"/>
      <c r="R1048304" s="3"/>
      <c r="S1048304" s="3"/>
      <c r="T1048304" s="3"/>
      <c r="U1048304" s="5"/>
      <c r="V1048304" s="3"/>
    </row>
    <row r="1048305" customFormat="1" spans="1:22">
      <c r="A1048305" s="5"/>
      <c r="B1048305" s="5"/>
      <c r="C1048305" s="5"/>
      <c r="D1048305" s="3"/>
      <c r="E1048305" s="4"/>
      <c r="F1048305" s="4"/>
      <c r="G1048305" s="5"/>
      <c r="H1048305" s="5"/>
      <c r="I1048305" s="5"/>
      <c r="J1048305" s="5"/>
      <c r="K1048305" s="5"/>
      <c r="L1048305" s="5"/>
      <c r="M1048305" s="5"/>
      <c r="N1048305" s="5"/>
      <c r="O1048305" s="5"/>
      <c r="P1048305" s="3"/>
      <c r="Q1048305" s="3"/>
      <c r="R1048305" s="3"/>
      <c r="S1048305" s="3"/>
      <c r="T1048305" s="3"/>
      <c r="U1048305" s="5"/>
      <c r="V1048305" s="3"/>
    </row>
    <row r="1048306" customFormat="1" spans="1:22">
      <c r="A1048306" s="5"/>
      <c r="B1048306" s="5"/>
      <c r="C1048306" s="5"/>
      <c r="D1048306" s="3"/>
      <c r="E1048306" s="4"/>
      <c r="F1048306" s="4"/>
      <c r="G1048306" s="5"/>
      <c r="H1048306" s="5"/>
      <c r="I1048306" s="5"/>
      <c r="J1048306" s="5"/>
      <c r="K1048306" s="5"/>
      <c r="L1048306" s="5"/>
      <c r="M1048306" s="5"/>
      <c r="N1048306" s="5"/>
      <c r="O1048306" s="5"/>
      <c r="P1048306" s="3"/>
      <c r="Q1048306" s="3"/>
      <c r="R1048306" s="3"/>
      <c r="S1048306" s="3"/>
      <c r="T1048306" s="3"/>
      <c r="U1048306" s="5"/>
      <c r="V1048306" s="3"/>
    </row>
    <row r="1048307" customFormat="1" spans="1:22">
      <c r="A1048307" s="5"/>
      <c r="B1048307" s="5"/>
      <c r="C1048307" s="5"/>
      <c r="D1048307" s="3"/>
      <c r="E1048307" s="4"/>
      <c r="F1048307" s="4"/>
      <c r="G1048307" s="5"/>
      <c r="H1048307" s="5"/>
      <c r="I1048307" s="5"/>
      <c r="J1048307" s="5"/>
      <c r="K1048307" s="5"/>
      <c r="L1048307" s="5"/>
      <c r="M1048307" s="5"/>
      <c r="N1048307" s="5"/>
      <c r="O1048307" s="5"/>
      <c r="P1048307" s="3"/>
      <c r="Q1048307" s="3"/>
      <c r="R1048307" s="3"/>
      <c r="S1048307" s="3"/>
      <c r="T1048307" s="3"/>
      <c r="U1048307" s="5"/>
      <c r="V1048307" s="3"/>
    </row>
    <row r="1048308" customFormat="1" spans="1:22">
      <c r="A1048308" s="5"/>
      <c r="B1048308" s="5"/>
      <c r="C1048308" s="5"/>
      <c r="D1048308" s="3"/>
      <c r="E1048308" s="4"/>
      <c r="F1048308" s="4"/>
      <c r="G1048308" s="5"/>
      <c r="H1048308" s="5"/>
      <c r="I1048308" s="5"/>
      <c r="J1048308" s="5"/>
      <c r="K1048308" s="5"/>
      <c r="L1048308" s="5"/>
      <c r="M1048308" s="5"/>
      <c r="N1048308" s="5"/>
      <c r="O1048308" s="5"/>
      <c r="P1048308" s="3"/>
      <c r="Q1048308" s="3"/>
      <c r="R1048308" s="3"/>
      <c r="S1048308" s="3"/>
      <c r="T1048308" s="3"/>
      <c r="U1048308" s="5"/>
      <c r="V1048308" s="3"/>
    </row>
    <row r="1048309" customFormat="1" spans="1:22">
      <c r="A1048309" s="5"/>
      <c r="B1048309" s="5"/>
      <c r="C1048309" s="5"/>
      <c r="D1048309" s="3"/>
      <c r="E1048309" s="4"/>
      <c r="F1048309" s="4"/>
      <c r="G1048309" s="5"/>
      <c r="H1048309" s="5"/>
      <c r="I1048309" s="5"/>
      <c r="J1048309" s="5"/>
      <c r="K1048309" s="5"/>
      <c r="L1048309" s="5"/>
      <c r="M1048309" s="5"/>
      <c r="N1048309" s="5"/>
      <c r="O1048309" s="5"/>
      <c r="P1048309" s="3"/>
      <c r="Q1048309" s="3"/>
      <c r="R1048309" s="3"/>
      <c r="S1048309" s="3"/>
      <c r="T1048309" s="3"/>
      <c r="U1048309" s="5"/>
      <c r="V1048309" s="3"/>
    </row>
    <row r="1048310" customFormat="1" spans="1:22">
      <c r="A1048310" s="5"/>
      <c r="B1048310" s="5"/>
      <c r="C1048310" s="5"/>
      <c r="D1048310" s="3"/>
      <c r="E1048310" s="4"/>
      <c r="F1048310" s="4"/>
      <c r="G1048310" s="5"/>
      <c r="H1048310" s="5"/>
      <c r="I1048310" s="5"/>
      <c r="J1048310" s="5"/>
      <c r="K1048310" s="5"/>
      <c r="L1048310" s="5"/>
      <c r="M1048310" s="5"/>
      <c r="N1048310" s="5"/>
      <c r="O1048310" s="5"/>
      <c r="P1048310" s="3"/>
      <c r="Q1048310" s="3"/>
      <c r="R1048310" s="3"/>
      <c r="S1048310" s="3"/>
      <c r="T1048310" s="3"/>
      <c r="U1048310" s="5"/>
      <c r="V1048310" s="3"/>
    </row>
    <row r="1048311" customFormat="1" spans="1:22">
      <c r="A1048311" s="5"/>
      <c r="B1048311" s="5"/>
      <c r="C1048311" s="5"/>
      <c r="D1048311" s="3"/>
      <c r="E1048311" s="4"/>
      <c r="F1048311" s="4"/>
      <c r="G1048311" s="5"/>
      <c r="H1048311" s="5"/>
      <c r="I1048311" s="5"/>
      <c r="J1048311" s="5"/>
      <c r="K1048311" s="5"/>
      <c r="L1048311" s="5"/>
      <c r="M1048311" s="5"/>
      <c r="N1048311" s="5"/>
      <c r="O1048311" s="5"/>
      <c r="P1048311" s="3"/>
      <c r="Q1048311" s="3"/>
      <c r="R1048311" s="3"/>
      <c r="S1048311" s="3"/>
      <c r="T1048311" s="3"/>
      <c r="U1048311" s="5"/>
      <c r="V1048311" s="3"/>
    </row>
    <row r="1048312" customFormat="1" spans="1:22">
      <c r="A1048312" s="5"/>
      <c r="B1048312" s="5"/>
      <c r="C1048312" s="5"/>
      <c r="D1048312" s="3"/>
      <c r="E1048312" s="4"/>
      <c r="F1048312" s="4"/>
      <c r="G1048312" s="5"/>
      <c r="H1048312" s="5"/>
      <c r="I1048312" s="5"/>
      <c r="J1048312" s="5"/>
      <c r="K1048312" s="5"/>
      <c r="L1048312" s="5"/>
      <c r="M1048312" s="5"/>
      <c r="N1048312" s="5"/>
      <c r="O1048312" s="5"/>
      <c r="P1048312" s="3"/>
      <c r="Q1048312" s="3"/>
      <c r="R1048312" s="3"/>
      <c r="S1048312" s="3"/>
      <c r="T1048312" s="3"/>
      <c r="U1048312" s="5"/>
      <c r="V1048312" s="3"/>
    </row>
    <row r="1048313" customFormat="1" spans="1:22">
      <c r="A1048313" s="5"/>
      <c r="B1048313" s="5"/>
      <c r="C1048313" s="5"/>
      <c r="D1048313" s="3"/>
      <c r="E1048313" s="4"/>
      <c r="F1048313" s="4"/>
      <c r="G1048313" s="5"/>
      <c r="H1048313" s="5"/>
      <c r="I1048313" s="5"/>
      <c r="J1048313" s="5"/>
      <c r="K1048313" s="5"/>
      <c r="L1048313" s="5"/>
      <c r="M1048313" s="5"/>
      <c r="N1048313" s="5"/>
      <c r="O1048313" s="5"/>
      <c r="P1048313" s="3"/>
      <c r="Q1048313" s="3"/>
      <c r="R1048313" s="3"/>
      <c r="S1048313" s="3"/>
      <c r="T1048313" s="3"/>
      <c r="U1048313" s="5"/>
      <c r="V1048313" s="3"/>
    </row>
    <row r="1048314" customFormat="1" spans="1:22">
      <c r="A1048314" s="5"/>
      <c r="B1048314" s="5"/>
      <c r="C1048314" s="5"/>
      <c r="D1048314" s="3"/>
      <c r="E1048314" s="4"/>
      <c r="F1048314" s="4"/>
      <c r="G1048314" s="5"/>
      <c r="H1048314" s="5"/>
      <c r="I1048314" s="5"/>
      <c r="J1048314" s="5"/>
      <c r="K1048314" s="5"/>
      <c r="L1048314" s="5"/>
      <c r="M1048314" s="5"/>
      <c r="N1048314" s="5"/>
      <c r="O1048314" s="5"/>
      <c r="P1048314" s="3"/>
      <c r="Q1048314" s="3"/>
      <c r="R1048314" s="3"/>
      <c r="S1048314" s="3"/>
      <c r="T1048314" s="3"/>
      <c r="U1048314" s="5"/>
      <c r="V1048314" s="3"/>
    </row>
    <row r="1048315" customFormat="1" spans="1:22">
      <c r="A1048315" s="5"/>
      <c r="B1048315" s="5"/>
      <c r="C1048315" s="5"/>
      <c r="D1048315" s="3"/>
      <c r="E1048315" s="4"/>
      <c r="F1048315" s="4"/>
      <c r="G1048315" s="5"/>
      <c r="H1048315" s="5"/>
      <c r="I1048315" s="5"/>
      <c r="J1048315" s="5"/>
      <c r="K1048315" s="5"/>
      <c r="L1048315" s="5"/>
      <c r="M1048315" s="5"/>
      <c r="N1048315" s="5"/>
      <c r="O1048315" s="5"/>
      <c r="P1048315" s="3"/>
      <c r="Q1048315" s="3"/>
      <c r="R1048315" s="3"/>
      <c r="S1048315" s="3"/>
      <c r="T1048315" s="3"/>
      <c r="U1048315" s="5"/>
      <c r="V1048315" s="3"/>
    </row>
    <row r="1048316" customFormat="1" spans="1:22">
      <c r="A1048316" s="5"/>
      <c r="B1048316" s="5"/>
      <c r="C1048316" s="5"/>
      <c r="D1048316" s="3"/>
      <c r="E1048316" s="4"/>
      <c r="F1048316" s="4"/>
      <c r="G1048316" s="5"/>
      <c r="H1048316" s="5"/>
      <c r="I1048316" s="5"/>
      <c r="J1048316" s="5"/>
      <c r="K1048316" s="5"/>
      <c r="L1048316" s="5"/>
      <c r="M1048316" s="5"/>
      <c r="N1048316" s="5"/>
      <c r="O1048316" s="5"/>
      <c r="P1048316" s="3"/>
      <c r="Q1048316" s="3"/>
      <c r="R1048316" s="3"/>
      <c r="S1048316" s="3"/>
      <c r="T1048316" s="3"/>
      <c r="U1048316" s="5"/>
      <c r="V1048316" s="3"/>
    </row>
    <row r="1048317" customFormat="1" spans="1:22">
      <c r="A1048317" s="5"/>
      <c r="B1048317" s="5"/>
      <c r="C1048317" s="5"/>
      <c r="D1048317" s="3"/>
      <c r="E1048317" s="4"/>
      <c r="F1048317" s="4"/>
      <c r="G1048317" s="5"/>
      <c r="H1048317" s="5"/>
      <c r="I1048317" s="5"/>
      <c r="J1048317" s="5"/>
      <c r="K1048317" s="5"/>
      <c r="L1048317" s="5"/>
      <c r="M1048317" s="5"/>
      <c r="N1048317" s="5"/>
      <c r="O1048317" s="5"/>
      <c r="P1048317" s="3"/>
      <c r="Q1048317" s="3"/>
      <c r="R1048317" s="3"/>
      <c r="S1048317" s="3"/>
      <c r="T1048317" s="3"/>
      <c r="U1048317" s="5"/>
      <c r="V1048317" s="3"/>
    </row>
    <row r="1048318" customFormat="1" spans="1:22">
      <c r="A1048318" s="5"/>
      <c r="B1048318" s="5"/>
      <c r="C1048318" s="5"/>
      <c r="D1048318" s="3"/>
      <c r="E1048318" s="4"/>
      <c r="F1048318" s="4"/>
      <c r="G1048318" s="5"/>
      <c r="H1048318" s="5"/>
      <c r="I1048318" s="5"/>
      <c r="J1048318" s="5"/>
      <c r="K1048318" s="5"/>
      <c r="L1048318" s="5"/>
      <c r="M1048318" s="5"/>
      <c r="N1048318" s="5"/>
      <c r="O1048318" s="5"/>
      <c r="P1048318" s="3"/>
      <c r="Q1048318" s="3"/>
      <c r="R1048318" s="3"/>
      <c r="S1048318" s="3"/>
      <c r="T1048318" s="3"/>
      <c r="U1048318" s="5"/>
      <c r="V1048318" s="3"/>
    </row>
    <row r="1048319" customFormat="1" spans="1:22">
      <c r="A1048319" s="5"/>
      <c r="B1048319" s="5"/>
      <c r="C1048319" s="5"/>
      <c r="D1048319" s="3"/>
      <c r="E1048319" s="4"/>
      <c r="F1048319" s="4"/>
      <c r="G1048319" s="5"/>
      <c r="H1048319" s="5"/>
      <c r="I1048319" s="5"/>
      <c r="J1048319" s="5"/>
      <c r="K1048319" s="5"/>
      <c r="L1048319" s="5"/>
      <c r="M1048319" s="5"/>
      <c r="N1048319" s="5"/>
      <c r="O1048319" s="5"/>
      <c r="P1048319" s="3"/>
      <c r="Q1048319" s="3"/>
      <c r="R1048319" s="3"/>
      <c r="S1048319" s="3"/>
      <c r="T1048319" s="3"/>
      <c r="U1048319" s="5"/>
      <c r="V1048319" s="3"/>
    </row>
    <row r="1048320" customFormat="1" spans="1:22">
      <c r="A1048320" s="5"/>
      <c r="B1048320" s="5"/>
      <c r="C1048320" s="5"/>
      <c r="D1048320" s="3"/>
      <c r="E1048320" s="4"/>
      <c r="F1048320" s="4"/>
      <c r="G1048320" s="5"/>
      <c r="H1048320" s="5"/>
      <c r="I1048320" s="5"/>
      <c r="J1048320" s="5"/>
      <c r="K1048320" s="5"/>
      <c r="L1048320" s="5"/>
      <c r="M1048320" s="5"/>
      <c r="N1048320" s="5"/>
      <c r="O1048320" s="5"/>
      <c r="P1048320" s="3"/>
      <c r="Q1048320" s="3"/>
      <c r="R1048320" s="3"/>
      <c r="S1048320" s="3"/>
      <c r="T1048320" s="3"/>
      <c r="U1048320" s="5"/>
      <c r="V1048320" s="3"/>
    </row>
    <row r="1048321" customFormat="1" spans="1:22">
      <c r="A1048321" s="5"/>
      <c r="B1048321" s="5"/>
      <c r="C1048321" s="5"/>
      <c r="D1048321" s="3"/>
      <c r="E1048321" s="4"/>
      <c r="F1048321" s="4"/>
      <c r="G1048321" s="5"/>
      <c r="H1048321" s="5"/>
      <c r="I1048321" s="5"/>
      <c r="J1048321" s="5"/>
      <c r="K1048321" s="5"/>
      <c r="L1048321" s="5"/>
      <c r="M1048321" s="5"/>
      <c r="N1048321" s="5"/>
      <c r="O1048321" s="5"/>
      <c r="P1048321" s="3"/>
      <c r="Q1048321" s="3"/>
      <c r="R1048321" s="3"/>
      <c r="S1048321" s="3"/>
      <c r="T1048321" s="3"/>
      <c r="U1048321" s="5"/>
      <c r="V1048321" s="3"/>
    </row>
    <row r="1048322" customFormat="1" spans="1:22">
      <c r="A1048322" s="5"/>
      <c r="B1048322" s="5"/>
      <c r="C1048322" s="5"/>
      <c r="D1048322" s="3"/>
      <c r="E1048322" s="4"/>
      <c r="F1048322" s="4"/>
      <c r="G1048322" s="5"/>
      <c r="H1048322" s="5"/>
      <c r="I1048322" s="5"/>
      <c r="J1048322" s="5"/>
      <c r="K1048322" s="5"/>
      <c r="L1048322" s="5"/>
      <c r="M1048322" s="5"/>
      <c r="N1048322" s="5"/>
      <c r="O1048322" s="5"/>
      <c r="P1048322" s="3"/>
      <c r="Q1048322" s="3"/>
      <c r="R1048322" s="3"/>
      <c r="S1048322" s="3"/>
      <c r="T1048322" s="3"/>
      <c r="U1048322" s="5"/>
      <c r="V1048322" s="3"/>
    </row>
    <row r="1048323" customFormat="1" spans="1:22">
      <c r="A1048323" s="5"/>
      <c r="B1048323" s="5"/>
      <c r="C1048323" s="5"/>
      <c r="D1048323" s="3"/>
      <c r="E1048323" s="4"/>
      <c r="F1048323" s="4"/>
      <c r="G1048323" s="5"/>
      <c r="H1048323" s="5"/>
      <c r="I1048323" s="5"/>
      <c r="J1048323" s="5"/>
      <c r="K1048323" s="5"/>
      <c r="L1048323" s="5"/>
      <c r="M1048323" s="5"/>
      <c r="N1048323" s="5"/>
      <c r="O1048323" s="5"/>
      <c r="P1048323" s="3"/>
      <c r="Q1048323" s="3"/>
      <c r="R1048323" s="3"/>
      <c r="S1048323" s="3"/>
      <c r="T1048323" s="3"/>
      <c r="U1048323" s="5"/>
      <c r="V1048323" s="3"/>
    </row>
    <row r="1048324" customFormat="1" spans="1:22">
      <c r="A1048324" s="5"/>
      <c r="B1048324" s="5"/>
      <c r="C1048324" s="5"/>
      <c r="D1048324" s="3"/>
      <c r="E1048324" s="4"/>
      <c r="F1048324" s="4"/>
      <c r="G1048324" s="5"/>
      <c r="H1048324" s="5"/>
      <c r="I1048324" s="5"/>
      <c r="J1048324" s="5"/>
      <c r="K1048324" s="5"/>
      <c r="L1048324" s="5"/>
      <c r="M1048324" s="5"/>
      <c r="N1048324" s="5"/>
      <c r="O1048324" s="5"/>
      <c r="P1048324" s="3"/>
      <c r="Q1048324" s="3"/>
      <c r="R1048324" s="3"/>
      <c r="S1048324" s="3"/>
      <c r="T1048324" s="3"/>
      <c r="U1048324" s="5"/>
      <c r="V1048324" s="3"/>
    </row>
    <row r="1048325" customFormat="1" spans="1:22">
      <c r="A1048325" s="5"/>
      <c r="B1048325" s="5"/>
      <c r="C1048325" s="5"/>
      <c r="D1048325" s="3"/>
      <c r="E1048325" s="4"/>
      <c r="F1048325" s="4"/>
      <c r="G1048325" s="5"/>
      <c r="H1048325" s="5"/>
      <c r="I1048325" s="5"/>
      <c r="J1048325" s="5"/>
      <c r="K1048325" s="5"/>
      <c r="L1048325" s="5"/>
      <c r="M1048325" s="5"/>
      <c r="N1048325" s="5"/>
      <c r="O1048325" s="5"/>
      <c r="P1048325" s="3"/>
      <c r="Q1048325" s="3"/>
      <c r="R1048325" s="3"/>
      <c r="S1048325" s="3"/>
      <c r="T1048325" s="3"/>
      <c r="U1048325" s="5"/>
      <c r="V1048325" s="3"/>
    </row>
    <row r="1048326" customFormat="1" spans="1:22">
      <c r="A1048326" s="5"/>
      <c r="B1048326" s="5"/>
      <c r="C1048326" s="5"/>
      <c r="D1048326" s="3"/>
      <c r="E1048326" s="4"/>
      <c r="F1048326" s="4"/>
      <c r="G1048326" s="5"/>
      <c r="H1048326" s="5"/>
      <c r="I1048326" s="5"/>
      <c r="J1048326" s="5"/>
      <c r="K1048326" s="5"/>
      <c r="L1048326" s="5"/>
      <c r="M1048326" s="5"/>
      <c r="N1048326" s="5"/>
      <c r="O1048326" s="5"/>
      <c r="P1048326" s="3"/>
      <c r="Q1048326" s="3"/>
      <c r="R1048326" s="3"/>
      <c r="S1048326" s="3"/>
      <c r="T1048326" s="3"/>
      <c r="U1048326" s="5"/>
      <c r="V1048326" s="3"/>
    </row>
    <row r="1048327" customFormat="1" spans="1:22">
      <c r="A1048327" s="5"/>
      <c r="B1048327" s="5"/>
      <c r="C1048327" s="5"/>
      <c r="D1048327" s="3"/>
      <c r="E1048327" s="4"/>
      <c r="F1048327" s="4"/>
      <c r="G1048327" s="5"/>
      <c r="H1048327" s="5"/>
      <c r="I1048327" s="5"/>
      <c r="J1048327" s="5"/>
      <c r="K1048327" s="5"/>
      <c r="L1048327" s="5"/>
      <c r="M1048327" s="5"/>
      <c r="N1048327" s="5"/>
      <c r="O1048327" s="5"/>
      <c r="P1048327" s="3"/>
      <c r="Q1048327" s="3"/>
      <c r="R1048327" s="3"/>
      <c r="S1048327" s="3"/>
      <c r="T1048327" s="3"/>
      <c r="U1048327" s="5"/>
      <c r="V1048327" s="3"/>
    </row>
    <row r="1048328" customFormat="1" spans="1:22">
      <c r="A1048328" s="5"/>
      <c r="B1048328" s="5"/>
      <c r="C1048328" s="5"/>
      <c r="D1048328" s="3"/>
      <c r="E1048328" s="4"/>
      <c r="F1048328" s="4"/>
      <c r="G1048328" s="5"/>
      <c r="H1048328" s="5"/>
      <c r="I1048328" s="5"/>
      <c r="J1048328" s="5"/>
      <c r="K1048328" s="5"/>
      <c r="L1048328" s="5"/>
      <c r="M1048328" s="5"/>
      <c r="N1048328" s="5"/>
      <c r="O1048328" s="5"/>
      <c r="P1048328" s="3"/>
      <c r="Q1048328" s="3"/>
      <c r="R1048328" s="3"/>
      <c r="S1048328" s="3"/>
      <c r="T1048328" s="3"/>
      <c r="U1048328" s="5"/>
      <c r="V1048328" s="3"/>
    </row>
    <row r="1048329" customFormat="1" spans="1:22">
      <c r="A1048329" s="5"/>
      <c r="B1048329" s="5"/>
      <c r="C1048329" s="5"/>
      <c r="D1048329" s="3"/>
      <c r="E1048329" s="4"/>
      <c r="F1048329" s="4"/>
      <c r="G1048329" s="5"/>
      <c r="H1048329" s="5"/>
      <c r="I1048329" s="5"/>
      <c r="J1048329" s="5"/>
      <c r="K1048329" s="5"/>
      <c r="L1048329" s="5"/>
      <c r="M1048329" s="5"/>
      <c r="N1048329" s="5"/>
      <c r="O1048329" s="5"/>
      <c r="P1048329" s="3"/>
      <c r="Q1048329" s="3"/>
      <c r="R1048329" s="3"/>
      <c r="S1048329" s="3"/>
      <c r="T1048329" s="3"/>
      <c r="U1048329" s="5"/>
      <c r="V1048329" s="3"/>
    </row>
    <row r="1048330" customFormat="1" spans="1:22">
      <c r="A1048330" s="5"/>
      <c r="B1048330" s="5"/>
      <c r="C1048330" s="5"/>
      <c r="D1048330" s="3"/>
      <c r="E1048330" s="4"/>
      <c r="F1048330" s="4"/>
      <c r="G1048330" s="5"/>
      <c r="H1048330" s="5"/>
      <c r="I1048330" s="5"/>
      <c r="J1048330" s="5"/>
      <c r="K1048330" s="5"/>
      <c r="L1048330" s="5"/>
      <c r="M1048330" s="5"/>
      <c r="N1048330" s="5"/>
      <c r="O1048330" s="5"/>
      <c r="P1048330" s="3"/>
      <c r="Q1048330" s="3"/>
      <c r="R1048330" s="3"/>
      <c r="S1048330" s="3"/>
      <c r="T1048330" s="3"/>
      <c r="U1048330" s="5"/>
      <c r="V1048330" s="3"/>
    </row>
    <row r="1048331" customFormat="1" spans="1:22">
      <c r="A1048331" s="5"/>
      <c r="B1048331" s="5"/>
      <c r="C1048331" s="5"/>
      <c r="D1048331" s="3"/>
      <c r="E1048331" s="4"/>
      <c r="F1048331" s="4"/>
      <c r="G1048331" s="5"/>
      <c r="H1048331" s="5"/>
      <c r="I1048331" s="5"/>
      <c r="J1048331" s="5"/>
      <c r="K1048331" s="5"/>
      <c r="L1048331" s="5"/>
      <c r="M1048331" s="5"/>
      <c r="N1048331" s="5"/>
      <c r="O1048331" s="5"/>
      <c r="P1048331" s="3"/>
      <c r="Q1048331" s="3"/>
      <c r="R1048331" s="3"/>
      <c r="S1048331" s="3"/>
      <c r="T1048331" s="3"/>
      <c r="U1048331" s="5"/>
      <c r="V1048331" s="3"/>
    </row>
    <row r="1048332" customFormat="1" spans="1:22">
      <c r="A1048332" s="5"/>
      <c r="B1048332" s="5"/>
      <c r="C1048332" s="5"/>
      <c r="D1048332" s="3"/>
      <c r="E1048332" s="4"/>
      <c r="F1048332" s="4"/>
      <c r="G1048332" s="5"/>
      <c r="H1048332" s="5"/>
      <c r="I1048332" s="5"/>
      <c r="J1048332" s="5"/>
      <c r="K1048332" s="5"/>
      <c r="L1048332" s="5"/>
      <c r="M1048332" s="5"/>
      <c r="N1048332" s="5"/>
      <c r="O1048332" s="5"/>
      <c r="P1048332" s="3"/>
      <c r="Q1048332" s="3"/>
      <c r="R1048332" s="3"/>
      <c r="S1048332" s="3"/>
      <c r="T1048332" s="3"/>
      <c r="U1048332" s="5"/>
      <c r="V1048332" s="3"/>
    </row>
    <row r="1048333" customFormat="1" spans="1:22">
      <c r="A1048333" s="5"/>
      <c r="B1048333" s="5"/>
      <c r="C1048333" s="5"/>
      <c r="D1048333" s="3"/>
      <c r="E1048333" s="4"/>
      <c r="F1048333" s="4"/>
      <c r="G1048333" s="5"/>
      <c r="H1048333" s="5"/>
      <c r="I1048333" s="5"/>
      <c r="J1048333" s="5"/>
      <c r="K1048333" s="5"/>
      <c r="L1048333" s="5"/>
      <c r="M1048333" s="5"/>
      <c r="N1048333" s="5"/>
      <c r="O1048333" s="5"/>
      <c r="P1048333" s="3"/>
      <c r="Q1048333" s="3"/>
      <c r="R1048333" s="3"/>
      <c r="S1048333" s="3"/>
      <c r="T1048333" s="3"/>
      <c r="U1048333" s="5"/>
      <c r="V1048333" s="3"/>
    </row>
    <row r="1048334" customFormat="1" spans="1:22">
      <c r="A1048334" s="5"/>
      <c r="B1048334" s="5"/>
      <c r="C1048334" s="5"/>
      <c r="D1048334" s="3"/>
      <c r="E1048334" s="4"/>
      <c r="F1048334" s="4"/>
      <c r="G1048334" s="5"/>
      <c r="H1048334" s="5"/>
      <c r="I1048334" s="5"/>
      <c r="J1048334" s="5"/>
      <c r="K1048334" s="5"/>
      <c r="L1048334" s="5"/>
      <c r="M1048334" s="5"/>
      <c r="N1048334" s="5"/>
      <c r="O1048334" s="5"/>
      <c r="P1048334" s="3"/>
      <c r="Q1048334" s="3"/>
      <c r="R1048334" s="3"/>
      <c r="S1048334" s="3"/>
      <c r="T1048334" s="3"/>
      <c r="U1048334" s="5"/>
      <c r="V1048334" s="3"/>
    </row>
    <row r="1048335" customFormat="1" spans="1:22">
      <c r="A1048335" s="5"/>
      <c r="B1048335" s="5"/>
      <c r="C1048335" s="5"/>
      <c r="D1048335" s="3"/>
      <c r="E1048335" s="4"/>
      <c r="F1048335" s="4"/>
      <c r="G1048335" s="5"/>
      <c r="H1048335" s="5"/>
      <c r="I1048335" s="5"/>
      <c r="J1048335" s="5"/>
      <c r="K1048335" s="5"/>
      <c r="L1048335" s="5"/>
      <c r="M1048335" s="5"/>
      <c r="N1048335" s="5"/>
      <c r="O1048335" s="5"/>
      <c r="P1048335" s="3"/>
      <c r="Q1048335" s="3"/>
      <c r="R1048335" s="3"/>
      <c r="S1048335" s="3"/>
      <c r="T1048335" s="3"/>
      <c r="U1048335" s="5"/>
      <c r="V1048335" s="3"/>
    </row>
    <row r="1048336" customFormat="1" spans="1:22">
      <c r="A1048336" s="5"/>
      <c r="B1048336" s="5"/>
      <c r="C1048336" s="5"/>
      <c r="D1048336" s="3"/>
      <c r="E1048336" s="4"/>
      <c r="F1048336" s="4"/>
      <c r="G1048336" s="5"/>
      <c r="H1048336" s="5"/>
      <c r="I1048336" s="5"/>
      <c r="J1048336" s="5"/>
      <c r="K1048336" s="5"/>
      <c r="L1048336" s="5"/>
      <c r="M1048336" s="5"/>
      <c r="N1048336" s="5"/>
      <c r="O1048336" s="5"/>
      <c r="P1048336" s="3"/>
      <c r="Q1048336" s="3"/>
      <c r="R1048336" s="3"/>
      <c r="S1048336" s="3"/>
      <c r="T1048336" s="3"/>
      <c r="U1048336" s="5"/>
      <c r="V1048336" s="3"/>
    </row>
    <row r="1048337" customFormat="1" spans="1:22">
      <c r="A1048337" s="5"/>
      <c r="B1048337" s="5"/>
      <c r="C1048337" s="5"/>
      <c r="D1048337" s="3"/>
      <c r="E1048337" s="4"/>
      <c r="F1048337" s="4"/>
      <c r="G1048337" s="5"/>
      <c r="H1048337" s="5"/>
      <c r="I1048337" s="5"/>
      <c r="J1048337" s="5"/>
      <c r="K1048337" s="5"/>
      <c r="L1048337" s="5"/>
      <c r="M1048337" s="5"/>
      <c r="N1048337" s="5"/>
      <c r="O1048337" s="5"/>
      <c r="P1048337" s="3"/>
      <c r="Q1048337" s="3"/>
      <c r="R1048337" s="3"/>
      <c r="S1048337" s="3"/>
      <c r="T1048337" s="3"/>
      <c r="U1048337" s="5"/>
      <c r="V1048337" s="3"/>
    </row>
    <row r="1048338" customFormat="1" spans="1:22">
      <c r="A1048338" s="5"/>
      <c r="B1048338" s="5"/>
      <c r="C1048338" s="5"/>
      <c r="D1048338" s="3"/>
      <c r="E1048338" s="4"/>
      <c r="F1048338" s="4"/>
      <c r="G1048338" s="5"/>
      <c r="H1048338" s="5"/>
      <c r="I1048338" s="5"/>
      <c r="J1048338" s="5"/>
      <c r="K1048338" s="5"/>
      <c r="L1048338" s="5"/>
      <c r="M1048338" s="5"/>
      <c r="N1048338" s="5"/>
      <c r="O1048338" s="5"/>
      <c r="P1048338" s="3"/>
      <c r="Q1048338" s="3"/>
      <c r="R1048338" s="3"/>
      <c r="S1048338" s="3"/>
      <c r="T1048338" s="3"/>
      <c r="U1048338" s="5"/>
      <c r="V1048338" s="3"/>
    </row>
    <row r="1048339" customFormat="1" spans="1:22">
      <c r="A1048339" s="5"/>
      <c r="B1048339" s="5"/>
      <c r="C1048339" s="5"/>
      <c r="D1048339" s="3"/>
      <c r="E1048339" s="4"/>
      <c r="F1048339" s="4"/>
      <c r="G1048339" s="5"/>
      <c r="H1048339" s="5"/>
      <c r="I1048339" s="5"/>
      <c r="J1048339" s="5"/>
      <c r="K1048339" s="5"/>
      <c r="L1048339" s="5"/>
      <c r="M1048339" s="5"/>
      <c r="N1048339" s="5"/>
      <c r="O1048339" s="5"/>
      <c r="P1048339" s="3"/>
      <c r="Q1048339" s="3"/>
      <c r="R1048339" s="3"/>
      <c r="S1048339" s="3"/>
      <c r="T1048339" s="3"/>
      <c r="U1048339" s="5"/>
      <c r="V1048339" s="3"/>
    </row>
    <row r="1048340" customFormat="1" spans="1:22">
      <c r="A1048340" s="5"/>
      <c r="B1048340" s="5"/>
      <c r="C1048340" s="5"/>
      <c r="D1048340" s="3"/>
      <c r="E1048340" s="4"/>
      <c r="F1048340" s="4"/>
      <c r="G1048340" s="5"/>
      <c r="H1048340" s="5"/>
      <c r="I1048340" s="5"/>
      <c r="J1048340" s="5"/>
      <c r="K1048340" s="5"/>
      <c r="L1048340" s="5"/>
      <c r="M1048340" s="5"/>
      <c r="N1048340" s="5"/>
      <c r="O1048340" s="5"/>
      <c r="P1048340" s="3"/>
      <c r="Q1048340" s="3"/>
      <c r="R1048340" s="3"/>
      <c r="S1048340" s="3"/>
      <c r="T1048340" s="3"/>
      <c r="U1048340" s="5"/>
      <c r="V1048340" s="3"/>
    </row>
    <row r="1048341" customFormat="1" spans="1:22">
      <c r="A1048341" s="5"/>
      <c r="B1048341" s="5"/>
      <c r="C1048341" s="5"/>
      <c r="D1048341" s="3"/>
      <c r="E1048341" s="4"/>
      <c r="F1048341" s="4"/>
      <c r="G1048341" s="5"/>
      <c r="H1048341" s="5"/>
      <c r="I1048341" s="5"/>
      <c r="J1048341" s="5"/>
      <c r="K1048341" s="5"/>
      <c r="L1048341" s="5"/>
      <c r="M1048341" s="5"/>
      <c r="N1048341" s="5"/>
      <c r="O1048341" s="5"/>
      <c r="P1048341" s="3"/>
      <c r="Q1048341" s="3"/>
      <c r="R1048341" s="3"/>
      <c r="S1048341" s="3"/>
      <c r="T1048341" s="3"/>
      <c r="U1048341" s="5"/>
      <c r="V1048341" s="3"/>
    </row>
    <row r="1048342" customFormat="1" spans="1:22">
      <c r="A1048342" s="5"/>
      <c r="B1048342" s="5"/>
      <c r="C1048342" s="5"/>
      <c r="D1048342" s="3"/>
      <c r="E1048342" s="4"/>
      <c r="F1048342" s="4"/>
      <c r="G1048342" s="5"/>
      <c r="H1048342" s="5"/>
      <c r="I1048342" s="5"/>
      <c r="J1048342" s="5"/>
      <c r="K1048342" s="5"/>
      <c r="L1048342" s="5"/>
      <c r="M1048342" s="5"/>
      <c r="N1048342" s="5"/>
      <c r="O1048342" s="5"/>
      <c r="P1048342" s="3"/>
      <c r="Q1048342" s="3"/>
      <c r="R1048342" s="3"/>
      <c r="S1048342" s="3"/>
      <c r="T1048342" s="3"/>
      <c r="U1048342" s="5"/>
      <c r="V1048342" s="3"/>
    </row>
    <row r="1048343" customFormat="1" spans="1:22">
      <c r="A1048343" s="5"/>
      <c r="B1048343" s="5"/>
      <c r="C1048343" s="5"/>
      <c r="D1048343" s="3"/>
      <c r="E1048343" s="4"/>
      <c r="F1048343" s="4"/>
      <c r="G1048343" s="5"/>
      <c r="H1048343" s="5"/>
      <c r="I1048343" s="5"/>
      <c r="J1048343" s="5"/>
      <c r="K1048343" s="5"/>
      <c r="L1048343" s="5"/>
      <c r="M1048343" s="5"/>
      <c r="N1048343" s="5"/>
      <c r="O1048343" s="5"/>
      <c r="P1048343" s="3"/>
      <c r="Q1048343" s="3"/>
      <c r="R1048343" s="3"/>
      <c r="S1048343" s="3"/>
      <c r="T1048343" s="3"/>
      <c r="U1048343" s="5"/>
      <c r="V1048343" s="3"/>
    </row>
    <row r="1048344" customFormat="1" spans="1:22">
      <c r="A1048344" s="5"/>
      <c r="B1048344" s="5"/>
      <c r="C1048344" s="5"/>
      <c r="D1048344" s="3"/>
      <c r="E1048344" s="4"/>
      <c r="F1048344" s="4"/>
      <c r="G1048344" s="5"/>
      <c r="H1048344" s="5"/>
      <c r="I1048344" s="5"/>
      <c r="J1048344" s="5"/>
      <c r="K1048344" s="5"/>
      <c r="L1048344" s="5"/>
      <c r="M1048344" s="5"/>
      <c r="N1048344" s="5"/>
      <c r="O1048344" s="5"/>
      <c r="P1048344" s="3"/>
      <c r="Q1048344" s="3"/>
      <c r="R1048344" s="3"/>
      <c r="S1048344" s="3"/>
      <c r="T1048344" s="3"/>
      <c r="U1048344" s="5"/>
      <c r="V1048344" s="3"/>
    </row>
    <row r="1048345" customFormat="1" spans="1:22">
      <c r="A1048345" s="5"/>
      <c r="B1048345" s="5"/>
      <c r="C1048345" s="5"/>
      <c r="D1048345" s="3"/>
      <c r="E1048345" s="4"/>
      <c r="F1048345" s="4"/>
      <c r="G1048345" s="5"/>
      <c r="H1048345" s="5"/>
      <c r="I1048345" s="5"/>
      <c r="J1048345" s="5"/>
      <c r="K1048345" s="5"/>
      <c r="L1048345" s="5"/>
      <c r="M1048345" s="5"/>
      <c r="N1048345" s="5"/>
      <c r="O1048345" s="5"/>
      <c r="P1048345" s="3"/>
      <c r="Q1048345" s="3"/>
      <c r="R1048345" s="3"/>
      <c r="S1048345" s="3"/>
      <c r="T1048345" s="3"/>
      <c r="U1048345" s="5"/>
      <c r="V1048345" s="3"/>
    </row>
    <row r="1048346" customFormat="1" spans="1:22">
      <c r="A1048346" s="5"/>
      <c r="B1048346" s="5"/>
      <c r="C1048346" s="5"/>
      <c r="D1048346" s="3"/>
      <c r="E1048346" s="4"/>
      <c r="F1048346" s="4"/>
      <c r="G1048346" s="5"/>
      <c r="H1048346" s="5"/>
      <c r="I1048346" s="5"/>
      <c r="J1048346" s="5"/>
      <c r="K1048346" s="5"/>
      <c r="L1048346" s="5"/>
      <c r="M1048346" s="5"/>
      <c r="N1048346" s="5"/>
      <c r="O1048346" s="5"/>
      <c r="P1048346" s="3"/>
      <c r="Q1048346" s="3"/>
      <c r="R1048346" s="3"/>
      <c r="S1048346" s="3"/>
      <c r="T1048346" s="3"/>
      <c r="U1048346" s="5"/>
      <c r="V1048346" s="3"/>
    </row>
    <row r="1048347" customFormat="1" spans="1:22">
      <c r="A1048347" s="5"/>
      <c r="B1048347" s="5"/>
      <c r="C1048347" s="5"/>
      <c r="D1048347" s="3"/>
      <c r="E1048347" s="4"/>
      <c r="F1048347" s="4"/>
      <c r="G1048347" s="5"/>
      <c r="H1048347" s="5"/>
      <c r="I1048347" s="5"/>
      <c r="J1048347" s="5"/>
      <c r="K1048347" s="5"/>
      <c r="L1048347" s="5"/>
      <c r="M1048347" s="5"/>
      <c r="N1048347" s="5"/>
      <c r="O1048347" s="5"/>
      <c r="P1048347" s="3"/>
      <c r="Q1048347" s="3"/>
      <c r="R1048347" s="3"/>
      <c r="S1048347" s="3"/>
      <c r="T1048347" s="3"/>
      <c r="U1048347" s="5"/>
      <c r="V1048347" s="3"/>
    </row>
    <row r="1048348" customFormat="1" spans="1:22">
      <c r="A1048348" s="5"/>
      <c r="B1048348" s="5"/>
      <c r="C1048348" s="5"/>
      <c r="D1048348" s="3"/>
      <c r="E1048348" s="4"/>
      <c r="F1048348" s="4"/>
      <c r="G1048348" s="5"/>
      <c r="H1048348" s="5"/>
      <c r="I1048348" s="5"/>
      <c r="J1048348" s="5"/>
      <c r="K1048348" s="5"/>
      <c r="L1048348" s="5"/>
      <c r="M1048348" s="5"/>
      <c r="N1048348" s="5"/>
      <c r="O1048348" s="5"/>
      <c r="P1048348" s="3"/>
      <c r="Q1048348" s="3"/>
      <c r="R1048348" s="3"/>
      <c r="S1048348" s="3"/>
      <c r="T1048348" s="3"/>
      <c r="U1048348" s="5"/>
      <c r="V1048348" s="3"/>
    </row>
    <row r="1048349" customFormat="1" spans="1:22">
      <c r="A1048349" s="5"/>
      <c r="B1048349" s="5"/>
      <c r="C1048349" s="5"/>
      <c r="D1048349" s="3"/>
      <c r="E1048349" s="4"/>
      <c r="F1048349" s="4"/>
      <c r="G1048349" s="5"/>
      <c r="H1048349" s="5"/>
      <c r="I1048349" s="5"/>
      <c r="J1048349" s="5"/>
      <c r="K1048349" s="5"/>
      <c r="L1048349" s="5"/>
      <c r="M1048349" s="5"/>
      <c r="N1048349" s="5"/>
      <c r="O1048349" s="5"/>
      <c r="P1048349" s="3"/>
      <c r="Q1048349" s="3"/>
      <c r="R1048349" s="3"/>
      <c r="S1048349" s="3"/>
      <c r="T1048349" s="3"/>
      <c r="U1048349" s="5"/>
      <c r="V1048349" s="3"/>
    </row>
    <row r="1048350" customFormat="1" spans="1:22">
      <c r="A1048350" s="5"/>
      <c r="B1048350" s="5"/>
      <c r="C1048350" s="5"/>
      <c r="D1048350" s="3"/>
      <c r="E1048350" s="4"/>
      <c r="F1048350" s="4"/>
      <c r="G1048350" s="5"/>
      <c r="H1048350" s="5"/>
      <c r="I1048350" s="5"/>
      <c r="J1048350" s="5"/>
      <c r="K1048350" s="5"/>
      <c r="L1048350" s="5"/>
      <c r="M1048350" s="5"/>
      <c r="N1048350" s="5"/>
      <c r="O1048350" s="5"/>
      <c r="P1048350" s="3"/>
      <c r="Q1048350" s="3"/>
      <c r="R1048350" s="3"/>
      <c r="S1048350" s="3"/>
      <c r="T1048350" s="3"/>
      <c r="U1048350" s="5"/>
      <c r="V1048350" s="3"/>
    </row>
    <row r="1048351" customFormat="1" spans="1:22">
      <c r="A1048351" s="5"/>
      <c r="B1048351" s="5"/>
      <c r="C1048351" s="5"/>
      <c r="D1048351" s="3"/>
      <c r="E1048351" s="4"/>
      <c r="F1048351" s="4"/>
      <c r="G1048351" s="5"/>
      <c r="H1048351" s="5"/>
      <c r="I1048351" s="5"/>
      <c r="J1048351" s="5"/>
      <c r="K1048351" s="5"/>
      <c r="L1048351" s="5"/>
      <c r="M1048351" s="5"/>
      <c r="N1048351" s="5"/>
      <c r="O1048351" s="5"/>
      <c r="P1048351" s="3"/>
      <c r="Q1048351" s="3"/>
      <c r="R1048351" s="3"/>
      <c r="S1048351" s="3"/>
      <c r="T1048351" s="3"/>
      <c r="U1048351" s="5"/>
      <c r="V1048351" s="3"/>
    </row>
    <row r="1048352" customFormat="1" spans="1:22">
      <c r="A1048352" s="5"/>
      <c r="B1048352" s="5"/>
      <c r="C1048352" s="5"/>
      <c r="D1048352" s="3"/>
      <c r="E1048352" s="4"/>
      <c r="F1048352" s="4"/>
      <c r="G1048352" s="5"/>
      <c r="H1048352" s="5"/>
      <c r="I1048352" s="5"/>
      <c r="J1048352" s="5"/>
      <c r="K1048352" s="5"/>
      <c r="L1048352" s="5"/>
      <c r="M1048352" s="5"/>
      <c r="N1048352" s="5"/>
      <c r="O1048352" s="5"/>
      <c r="P1048352" s="3"/>
      <c r="Q1048352" s="3"/>
      <c r="R1048352" s="3"/>
      <c r="S1048352" s="3"/>
      <c r="T1048352" s="3"/>
      <c r="U1048352" s="5"/>
      <c r="V1048352" s="3"/>
    </row>
    <row r="1048353" customFormat="1" spans="1:22">
      <c r="A1048353" s="5"/>
      <c r="B1048353" s="5"/>
      <c r="C1048353" s="5"/>
      <c r="D1048353" s="3"/>
      <c r="E1048353" s="4"/>
      <c r="F1048353" s="4"/>
      <c r="G1048353" s="5"/>
      <c r="H1048353" s="5"/>
      <c r="I1048353" s="5"/>
      <c r="J1048353" s="5"/>
      <c r="K1048353" s="5"/>
      <c r="L1048353" s="5"/>
      <c r="M1048353" s="5"/>
      <c r="N1048353" s="5"/>
      <c r="O1048353" s="5"/>
      <c r="P1048353" s="3"/>
      <c r="Q1048353" s="3"/>
      <c r="R1048353" s="3"/>
      <c r="S1048353" s="3"/>
      <c r="T1048353" s="3"/>
      <c r="U1048353" s="5"/>
      <c r="V1048353" s="3"/>
    </row>
    <row r="1048354" customFormat="1" spans="1:22">
      <c r="A1048354" s="5"/>
      <c r="B1048354" s="5"/>
      <c r="C1048354" s="5"/>
      <c r="D1048354" s="3"/>
      <c r="E1048354" s="4"/>
      <c r="F1048354" s="4"/>
      <c r="G1048354" s="5"/>
      <c r="H1048354" s="5"/>
      <c r="I1048354" s="5"/>
      <c r="J1048354" s="5"/>
      <c r="K1048354" s="5"/>
      <c r="L1048354" s="5"/>
      <c r="M1048354" s="5"/>
      <c r="N1048354" s="5"/>
      <c r="O1048354" s="5"/>
      <c r="P1048354" s="3"/>
      <c r="Q1048354" s="3"/>
      <c r="R1048354" s="3"/>
      <c r="S1048354" s="3"/>
      <c r="T1048354" s="3"/>
      <c r="U1048354" s="5"/>
      <c r="V1048354" s="3"/>
    </row>
    <row r="1048355" customFormat="1" spans="1:22">
      <c r="A1048355" s="5"/>
      <c r="B1048355" s="5"/>
      <c r="C1048355" s="5"/>
      <c r="D1048355" s="3"/>
      <c r="E1048355" s="4"/>
      <c r="F1048355" s="4"/>
      <c r="G1048355" s="5"/>
      <c r="H1048355" s="5"/>
      <c r="I1048355" s="5"/>
      <c r="J1048355" s="5"/>
      <c r="K1048355" s="5"/>
      <c r="L1048355" s="5"/>
      <c r="M1048355" s="5"/>
      <c r="N1048355" s="5"/>
      <c r="O1048355" s="5"/>
      <c r="P1048355" s="3"/>
      <c r="Q1048355" s="3"/>
      <c r="R1048355" s="3"/>
      <c r="S1048355" s="3"/>
      <c r="T1048355" s="3"/>
      <c r="U1048355" s="5"/>
      <c r="V1048355" s="3"/>
    </row>
    <row r="1048356" customFormat="1" spans="1:22">
      <c r="A1048356" s="5"/>
      <c r="B1048356" s="5"/>
      <c r="C1048356" s="5"/>
      <c r="D1048356" s="3"/>
      <c r="E1048356" s="4"/>
      <c r="F1048356" s="4"/>
      <c r="G1048356" s="5"/>
      <c r="H1048356" s="5"/>
      <c r="I1048356" s="5"/>
      <c r="J1048356" s="5"/>
      <c r="K1048356" s="5"/>
      <c r="L1048356" s="5"/>
      <c r="M1048356" s="5"/>
      <c r="N1048356" s="5"/>
      <c r="O1048356" s="5"/>
      <c r="P1048356" s="3"/>
      <c r="Q1048356" s="3"/>
      <c r="R1048356" s="3"/>
      <c r="S1048356" s="3"/>
      <c r="T1048356" s="3"/>
      <c r="U1048356" s="5"/>
      <c r="V1048356" s="3"/>
    </row>
    <row r="1048357" customFormat="1" spans="1:22">
      <c r="A1048357" s="5"/>
      <c r="B1048357" s="5"/>
      <c r="C1048357" s="5"/>
      <c r="D1048357" s="3"/>
      <c r="E1048357" s="4"/>
      <c r="F1048357" s="4"/>
      <c r="G1048357" s="5"/>
      <c r="H1048357" s="5"/>
      <c r="I1048357" s="5"/>
      <c r="J1048357" s="5"/>
      <c r="K1048357" s="5"/>
      <c r="L1048357" s="5"/>
      <c r="M1048357" s="5"/>
      <c r="N1048357" s="5"/>
      <c r="O1048357" s="5"/>
      <c r="P1048357" s="3"/>
      <c r="Q1048357" s="3"/>
      <c r="R1048357" s="3"/>
      <c r="S1048357" s="3"/>
      <c r="T1048357" s="3"/>
      <c r="U1048357" s="5"/>
      <c r="V1048357" s="3"/>
    </row>
    <row r="1048358" customFormat="1" spans="1:22">
      <c r="A1048358" s="5"/>
      <c r="B1048358" s="5"/>
      <c r="C1048358" s="5"/>
      <c r="D1048358" s="3"/>
      <c r="E1048358" s="4"/>
      <c r="F1048358" s="4"/>
      <c r="G1048358" s="5"/>
      <c r="H1048358" s="5"/>
      <c r="I1048358" s="5"/>
      <c r="J1048358" s="5"/>
      <c r="K1048358" s="5"/>
      <c r="L1048358" s="5"/>
      <c r="M1048358" s="5"/>
      <c r="N1048358" s="5"/>
      <c r="O1048358" s="5"/>
      <c r="P1048358" s="3"/>
      <c r="Q1048358" s="3"/>
      <c r="R1048358" s="3"/>
      <c r="S1048358" s="3"/>
      <c r="T1048358" s="3"/>
      <c r="U1048358" s="5"/>
      <c r="V1048358" s="3"/>
    </row>
    <row r="1048359" customFormat="1" spans="1:22">
      <c r="A1048359" s="5"/>
      <c r="B1048359" s="5"/>
      <c r="C1048359" s="5"/>
      <c r="D1048359" s="3"/>
      <c r="E1048359" s="4"/>
      <c r="F1048359" s="4"/>
      <c r="G1048359" s="5"/>
      <c r="H1048359" s="5"/>
      <c r="I1048359" s="5"/>
      <c r="J1048359" s="5"/>
      <c r="K1048359" s="5"/>
      <c r="L1048359" s="5"/>
      <c r="M1048359" s="5"/>
      <c r="N1048359" s="5"/>
      <c r="O1048359" s="5"/>
      <c r="P1048359" s="3"/>
      <c r="Q1048359" s="3"/>
      <c r="R1048359" s="3"/>
      <c r="S1048359" s="3"/>
      <c r="T1048359" s="3"/>
      <c r="U1048359" s="5"/>
      <c r="V1048359" s="3"/>
    </row>
    <row r="1048360" customFormat="1" spans="1:22">
      <c r="A1048360" s="5"/>
      <c r="B1048360" s="5"/>
      <c r="C1048360" s="5"/>
      <c r="D1048360" s="3"/>
      <c r="E1048360" s="4"/>
      <c r="F1048360" s="4"/>
      <c r="G1048360" s="5"/>
      <c r="H1048360" s="5"/>
      <c r="I1048360" s="5"/>
      <c r="J1048360" s="5"/>
      <c r="K1048360" s="5"/>
      <c r="L1048360" s="5"/>
      <c r="M1048360" s="5"/>
      <c r="N1048360" s="5"/>
      <c r="O1048360" s="5"/>
      <c r="P1048360" s="3"/>
      <c r="Q1048360" s="3"/>
      <c r="R1048360" s="3"/>
      <c r="S1048360" s="3"/>
      <c r="T1048360" s="3"/>
      <c r="U1048360" s="5"/>
      <c r="V1048360" s="3"/>
    </row>
    <row r="1048361" customFormat="1" spans="1:22">
      <c r="A1048361" s="5"/>
      <c r="B1048361" s="5"/>
      <c r="C1048361" s="5"/>
      <c r="D1048361" s="3"/>
      <c r="E1048361" s="4"/>
      <c r="F1048361" s="4"/>
      <c r="G1048361" s="5"/>
      <c r="H1048361" s="5"/>
      <c r="I1048361" s="5"/>
      <c r="J1048361" s="5"/>
      <c r="K1048361" s="5"/>
      <c r="L1048361" s="5"/>
      <c r="M1048361" s="5"/>
      <c r="N1048361" s="5"/>
      <c r="O1048361" s="5"/>
      <c r="P1048361" s="3"/>
      <c r="Q1048361" s="3"/>
      <c r="R1048361" s="3"/>
      <c r="S1048361" s="3"/>
      <c r="T1048361" s="3"/>
      <c r="U1048361" s="5"/>
      <c r="V1048361" s="3"/>
    </row>
    <row r="1048362" customFormat="1" spans="1:22">
      <c r="A1048362" s="5"/>
      <c r="B1048362" s="5"/>
      <c r="C1048362" s="5"/>
      <c r="D1048362" s="3"/>
      <c r="E1048362" s="4"/>
      <c r="F1048362" s="4"/>
      <c r="G1048362" s="5"/>
      <c r="H1048362" s="5"/>
      <c r="I1048362" s="5"/>
      <c r="J1048362" s="5"/>
      <c r="K1048362" s="5"/>
      <c r="L1048362" s="5"/>
      <c r="M1048362" s="5"/>
      <c r="N1048362" s="5"/>
      <c r="O1048362" s="5"/>
      <c r="P1048362" s="3"/>
      <c r="Q1048362" s="3"/>
      <c r="R1048362" s="3"/>
      <c r="S1048362" s="3"/>
      <c r="T1048362" s="3"/>
      <c r="U1048362" s="5"/>
      <c r="V1048362" s="3"/>
    </row>
    <row r="1048363" customFormat="1" spans="1:22">
      <c r="A1048363" s="5"/>
      <c r="B1048363" s="5"/>
      <c r="C1048363" s="5"/>
      <c r="D1048363" s="3"/>
      <c r="E1048363" s="4"/>
      <c r="F1048363" s="4"/>
      <c r="G1048363" s="5"/>
      <c r="H1048363" s="5"/>
      <c r="I1048363" s="5"/>
      <c r="J1048363" s="5"/>
      <c r="K1048363" s="5"/>
      <c r="L1048363" s="5"/>
      <c r="M1048363" s="5"/>
      <c r="N1048363" s="5"/>
      <c r="O1048363" s="5"/>
      <c r="P1048363" s="3"/>
      <c r="Q1048363" s="3"/>
      <c r="R1048363" s="3"/>
      <c r="S1048363" s="3"/>
      <c r="T1048363" s="3"/>
      <c r="U1048363" s="5"/>
      <c r="V1048363" s="3"/>
    </row>
    <row r="1048364" customFormat="1" spans="1:22">
      <c r="A1048364" s="5"/>
      <c r="B1048364" s="5"/>
      <c r="C1048364" s="5"/>
      <c r="D1048364" s="3"/>
      <c r="E1048364" s="4"/>
      <c r="F1048364" s="4"/>
      <c r="G1048364" s="5"/>
      <c r="H1048364" s="5"/>
      <c r="I1048364" s="5"/>
      <c r="J1048364" s="5"/>
      <c r="K1048364" s="5"/>
      <c r="L1048364" s="5"/>
      <c r="M1048364" s="5"/>
      <c r="N1048364" s="5"/>
      <c r="O1048364" s="5"/>
      <c r="P1048364" s="3"/>
      <c r="Q1048364" s="3"/>
      <c r="R1048364" s="3"/>
      <c r="S1048364" s="3"/>
      <c r="T1048364" s="3"/>
      <c r="U1048364" s="5"/>
      <c r="V1048364" s="3"/>
    </row>
    <row r="1048365" customFormat="1" spans="1:22">
      <c r="A1048365" s="5"/>
      <c r="B1048365" s="5"/>
      <c r="C1048365" s="5"/>
      <c r="D1048365" s="3"/>
      <c r="E1048365" s="4"/>
      <c r="F1048365" s="4"/>
      <c r="G1048365" s="5"/>
      <c r="H1048365" s="5"/>
      <c r="I1048365" s="5"/>
      <c r="J1048365" s="5"/>
      <c r="K1048365" s="5"/>
      <c r="L1048365" s="5"/>
      <c r="M1048365" s="5"/>
      <c r="N1048365" s="5"/>
      <c r="O1048365" s="5"/>
      <c r="P1048365" s="3"/>
      <c r="Q1048365" s="3"/>
      <c r="R1048365" s="3"/>
      <c r="S1048365" s="3"/>
      <c r="T1048365" s="3"/>
      <c r="U1048365" s="5"/>
      <c r="V1048365" s="3"/>
    </row>
    <row r="1048366" customFormat="1" spans="1:22">
      <c r="A1048366" s="5"/>
      <c r="B1048366" s="5"/>
      <c r="C1048366" s="5"/>
      <c r="D1048366" s="3"/>
      <c r="E1048366" s="4"/>
      <c r="F1048366" s="4"/>
      <c r="G1048366" s="5"/>
      <c r="H1048366" s="5"/>
      <c r="I1048366" s="5"/>
      <c r="J1048366" s="5"/>
      <c r="K1048366" s="5"/>
      <c r="L1048366" s="5"/>
      <c r="M1048366" s="5"/>
      <c r="N1048366" s="5"/>
      <c r="O1048366" s="5"/>
      <c r="P1048366" s="3"/>
      <c r="Q1048366" s="3"/>
      <c r="R1048366" s="3"/>
      <c r="S1048366" s="3"/>
      <c r="T1048366" s="3"/>
      <c r="U1048366" s="5"/>
      <c r="V1048366" s="3"/>
    </row>
    <row r="1048367" customFormat="1" spans="1:22">
      <c r="A1048367" s="5"/>
      <c r="B1048367" s="5"/>
      <c r="C1048367" s="5"/>
      <c r="D1048367" s="3"/>
      <c r="E1048367" s="4"/>
      <c r="F1048367" s="4"/>
      <c r="G1048367" s="5"/>
      <c r="H1048367" s="5"/>
      <c r="I1048367" s="5"/>
      <c r="J1048367" s="5"/>
      <c r="K1048367" s="5"/>
      <c r="L1048367" s="5"/>
      <c r="M1048367" s="5"/>
      <c r="N1048367" s="5"/>
      <c r="O1048367" s="5"/>
      <c r="P1048367" s="3"/>
      <c r="Q1048367" s="3"/>
      <c r="R1048367" s="3"/>
      <c r="S1048367" s="3"/>
      <c r="T1048367" s="3"/>
      <c r="U1048367" s="5"/>
      <c r="V1048367" s="3"/>
    </row>
    <row r="1048368" customFormat="1" spans="1:22">
      <c r="A1048368" s="5"/>
      <c r="B1048368" s="5"/>
      <c r="C1048368" s="5"/>
      <c r="D1048368" s="3"/>
      <c r="E1048368" s="4"/>
      <c r="F1048368" s="4"/>
      <c r="G1048368" s="5"/>
      <c r="H1048368" s="5"/>
      <c r="I1048368" s="5"/>
      <c r="J1048368" s="5"/>
      <c r="K1048368" s="5"/>
      <c r="L1048368" s="5"/>
      <c r="M1048368" s="5"/>
      <c r="N1048368" s="5"/>
      <c r="O1048368" s="5"/>
      <c r="P1048368" s="3"/>
      <c r="Q1048368" s="3"/>
      <c r="R1048368" s="3"/>
      <c r="S1048368" s="3"/>
      <c r="T1048368" s="3"/>
      <c r="U1048368" s="5"/>
      <c r="V1048368" s="3"/>
    </row>
    <row r="1048369" customFormat="1" spans="1:22">
      <c r="A1048369" s="5"/>
      <c r="B1048369" s="5"/>
      <c r="C1048369" s="5"/>
      <c r="D1048369" s="3"/>
      <c r="E1048369" s="4"/>
      <c r="F1048369" s="4"/>
      <c r="G1048369" s="5"/>
      <c r="H1048369" s="5"/>
      <c r="I1048369" s="5"/>
      <c r="J1048369" s="5"/>
      <c r="K1048369" s="5"/>
      <c r="L1048369" s="5"/>
      <c r="M1048369" s="5"/>
      <c r="N1048369" s="5"/>
      <c r="O1048369" s="5"/>
      <c r="P1048369" s="3"/>
      <c r="Q1048369" s="3"/>
      <c r="R1048369" s="3"/>
      <c r="S1048369" s="3"/>
      <c r="T1048369" s="3"/>
      <c r="U1048369" s="5"/>
      <c r="V1048369" s="3"/>
    </row>
    <row r="1048370" customFormat="1" spans="1:22">
      <c r="A1048370" s="5"/>
      <c r="B1048370" s="5"/>
      <c r="C1048370" s="5"/>
      <c r="D1048370" s="3"/>
      <c r="E1048370" s="4"/>
      <c r="F1048370" s="4"/>
      <c r="G1048370" s="5"/>
      <c r="H1048370" s="5"/>
      <c r="I1048370" s="5"/>
      <c r="J1048370" s="5"/>
      <c r="K1048370" s="5"/>
      <c r="L1048370" s="5"/>
      <c r="M1048370" s="5"/>
      <c r="N1048370" s="5"/>
      <c r="O1048370" s="5"/>
      <c r="P1048370" s="3"/>
      <c r="Q1048370" s="3"/>
      <c r="R1048370" s="3"/>
      <c r="S1048370" s="3"/>
      <c r="T1048370" s="3"/>
      <c r="U1048370" s="5"/>
      <c r="V1048370" s="3"/>
    </row>
    <row r="1048371" customFormat="1" spans="1:22">
      <c r="A1048371" s="5"/>
      <c r="B1048371" s="5"/>
      <c r="C1048371" s="5"/>
      <c r="D1048371" s="3"/>
      <c r="E1048371" s="4"/>
      <c r="F1048371" s="4"/>
      <c r="G1048371" s="5"/>
      <c r="H1048371" s="5"/>
      <c r="I1048371" s="5"/>
      <c r="J1048371" s="5"/>
      <c r="K1048371" s="5"/>
      <c r="L1048371" s="5"/>
      <c r="M1048371" s="5"/>
      <c r="N1048371" s="5"/>
      <c r="O1048371" s="5"/>
      <c r="P1048371" s="3"/>
      <c r="Q1048371" s="3"/>
      <c r="R1048371" s="3"/>
      <c r="S1048371" s="3"/>
      <c r="T1048371" s="3"/>
      <c r="U1048371" s="5"/>
      <c r="V1048371" s="3"/>
    </row>
    <row r="1048372" customFormat="1" spans="1:22">
      <c r="A1048372" s="5"/>
      <c r="B1048372" s="5"/>
      <c r="C1048372" s="5"/>
      <c r="D1048372" s="3"/>
      <c r="E1048372" s="4"/>
      <c r="F1048372" s="4"/>
      <c r="G1048372" s="5"/>
      <c r="H1048372" s="5"/>
      <c r="I1048372" s="5"/>
      <c r="J1048372" s="5"/>
      <c r="K1048372" s="5"/>
      <c r="L1048372" s="5"/>
      <c r="M1048372" s="5"/>
      <c r="N1048372" s="5"/>
      <c r="O1048372" s="5"/>
      <c r="P1048372" s="3"/>
      <c r="Q1048372" s="3"/>
      <c r="R1048372" s="3"/>
      <c r="S1048372" s="3"/>
      <c r="T1048372" s="3"/>
      <c r="U1048372" s="5"/>
      <c r="V1048372" s="3"/>
    </row>
    <row r="1048373" customFormat="1" spans="1:22">
      <c r="A1048373" s="5"/>
      <c r="B1048373" s="5"/>
      <c r="C1048373" s="5"/>
      <c r="D1048373" s="3"/>
      <c r="E1048373" s="4"/>
      <c r="F1048373" s="4"/>
      <c r="G1048373" s="5"/>
      <c r="H1048373" s="5"/>
      <c r="I1048373" s="5"/>
      <c r="J1048373" s="5"/>
      <c r="K1048373" s="5"/>
      <c r="L1048373" s="5"/>
      <c r="M1048373" s="5"/>
      <c r="N1048373" s="5"/>
      <c r="O1048373" s="5"/>
      <c r="P1048373" s="3"/>
      <c r="Q1048373" s="3"/>
      <c r="R1048373" s="3"/>
      <c r="S1048373" s="3"/>
      <c r="T1048373" s="3"/>
      <c r="U1048373" s="5"/>
      <c r="V1048373" s="3"/>
    </row>
    <row r="1048374" customFormat="1" spans="1:22">
      <c r="A1048374" s="5"/>
      <c r="B1048374" s="5"/>
      <c r="C1048374" s="5"/>
      <c r="D1048374" s="3"/>
      <c r="E1048374" s="4"/>
      <c r="F1048374" s="4"/>
      <c r="G1048374" s="5"/>
      <c r="H1048374" s="5"/>
      <c r="I1048374" s="5"/>
      <c r="J1048374" s="5"/>
      <c r="K1048374" s="5"/>
      <c r="L1048374" s="5"/>
      <c r="M1048374" s="5"/>
      <c r="N1048374" s="5"/>
      <c r="O1048374" s="5"/>
      <c r="P1048374" s="3"/>
      <c r="Q1048374" s="3"/>
      <c r="R1048374" s="3"/>
      <c r="S1048374" s="3"/>
      <c r="T1048374" s="3"/>
      <c r="U1048374" s="5"/>
      <c r="V1048374" s="3"/>
    </row>
    <row r="1048375" customFormat="1" spans="1:22">
      <c r="A1048375" s="5"/>
      <c r="B1048375" s="5"/>
      <c r="C1048375" s="5"/>
      <c r="D1048375" s="3"/>
      <c r="E1048375" s="4"/>
      <c r="F1048375" s="4"/>
      <c r="G1048375" s="5"/>
      <c r="H1048375" s="5"/>
      <c r="I1048375" s="5"/>
      <c r="J1048375" s="5"/>
      <c r="K1048375" s="5"/>
      <c r="L1048375" s="5"/>
      <c r="M1048375" s="5"/>
      <c r="N1048375" s="5"/>
      <c r="O1048375" s="5"/>
      <c r="P1048375" s="3"/>
      <c r="Q1048375" s="3"/>
      <c r="R1048375" s="3"/>
      <c r="S1048375" s="3"/>
      <c r="T1048375" s="3"/>
      <c r="U1048375" s="5"/>
      <c r="V1048375" s="3"/>
    </row>
    <row r="1048376" customFormat="1" spans="1:22">
      <c r="A1048376" s="5"/>
      <c r="B1048376" s="5"/>
      <c r="C1048376" s="5"/>
      <c r="D1048376" s="3"/>
      <c r="E1048376" s="4"/>
      <c r="F1048376" s="4"/>
      <c r="G1048376" s="5"/>
      <c r="H1048376" s="5"/>
      <c r="I1048376" s="5"/>
      <c r="J1048376" s="5"/>
      <c r="K1048376" s="5"/>
      <c r="L1048376" s="5"/>
      <c r="M1048376" s="5"/>
      <c r="N1048376" s="5"/>
      <c r="O1048376" s="5"/>
      <c r="P1048376" s="3"/>
      <c r="Q1048376" s="3"/>
      <c r="R1048376" s="3"/>
      <c r="S1048376" s="3"/>
      <c r="T1048376" s="3"/>
      <c r="U1048376" s="5"/>
      <c r="V1048376" s="3"/>
    </row>
    <row r="1048377" customFormat="1" spans="1:22">
      <c r="A1048377" s="5"/>
      <c r="B1048377" s="5"/>
      <c r="C1048377" s="5"/>
      <c r="D1048377" s="3"/>
      <c r="E1048377" s="4"/>
      <c r="F1048377" s="4"/>
      <c r="G1048377" s="5"/>
      <c r="H1048377" s="5"/>
      <c r="I1048377" s="5"/>
      <c r="J1048377" s="5"/>
      <c r="K1048377" s="5"/>
      <c r="L1048377" s="5"/>
      <c r="M1048377" s="5"/>
      <c r="N1048377" s="5"/>
      <c r="O1048377" s="5"/>
      <c r="P1048377" s="3"/>
      <c r="Q1048377" s="3"/>
      <c r="R1048377" s="3"/>
      <c r="S1048377" s="3"/>
      <c r="T1048377" s="3"/>
      <c r="U1048377" s="5"/>
      <c r="V1048377" s="3"/>
    </row>
    <row r="1048378" customFormat="1" spans="1:22">
      <c r="A1048378" s="5"/>
      <c r="B1048378" s="5"/>
      <c r="C1048378" s="5"/>
      <c r="D1048378" s="3"/>
      <c r="E1048378" s="4"/>
      <c r="F1048378" s="4"/>
      <c r="G1048378" s="5"/>
      <c r="H1048378" s="5"/>
      <c r="I1048378" s="5"/>
      <c r="J1048378" s="5"/>
      <c r="K1048378" s="5"/>
      <c r="L1048378" s="5"/>
      <c r="M1048378" s="5"/>
      <c r="N1048378" s="5"/>
      <c r="O1048378" s="5"/>
      <c r="P1048378" s="3"/>
      <c r="Q1048378" s="3"/>
      <c r="R1048378" s="3"/>
      <c r="S1048378" s="3"/>
      <c r="T1048378" s="3"/>
      <c r="U1048378" s="5"/>
      <c r="V1048378" s="3"/>
    </row>
    <row r="1048379" customFormat="1" spans="1:22">
      <c r="A1048379" s="5"/>
      <c r="B1048379" s="5"/>
      <c r="C1048379" s="5"/>
      <c r="D1048379" s="3"/>
      <c r="E1048379" s="4"/>
      <c r="F1048379" s="4"/>
      <c r="G1048379" s="5"/>
      <c r="H1048379" s="5"/>
      <c r="I1048379" s="5"/>
      <c r="J1048379" s="5"/>
      <c r="K1048379" s="5"/>
      <c r="L1048379" s="5"/>
      <c r="M1048379" s="5"/>
      <c r="N1048379" s="5"/>
      <c r="O1048379" s="5"/>
      <c r="P1048379" s="3"/>
      <c r="Q1048379" s="3"/>
      <c r="R1048379" s="3"/>
      <c r="S1048379" s="3"/>
      <c r="T1048379" s="3"/>
      <c r="U1048379" s="5"/>
      <c r="V1048379" s="3"/>
    </row>
    <row r="1048380" customFormat="1" spans="1:22">
      <c r="A1048380" s="5"/>
      <c r="B1048380" s="5"/>
      <c r="C1048380" s="5"/>
      <c r="D1048380" s="3"/>
      <c r="E1048380" s="4"/>
      <c r="F1048380" s="4"/>
      <c r="G1048380" s="5"/>
      <c r="H1048380" s="5"/>
      <c r="I1048380" s="5"/>
      <c r="J1048380" s="5"/>
      <c r="K1048380" s="5"/>
      <c r="L1048380" s="5"/>
      <c r="M1048380" s="5"/>
      <c r="N1048380" s="5"/>
      <c r="O1048380" s="5"/>
      <c r="P1048380" s="3"/>
      <c r="Q1048380" s="3"/>
      <c r="R1048380" s="3"/>
      <c r="S1048380" s="3"/>
      <c r="T1048380" s="3"/>
      <c r="U1048380" s="5"/>
      <c r="V1048380" s="3"/>
    </row>
    <row r="1048381" customFormat="1" spans="1:22">
      <c r="A1048381" s="5"/>
      <c r="B1048381" s="5"/>
      <c r="C1048381" s="5"/>
      <c r="D1048381" s="3"/>
      <c r="E1048381" s="4"/>
      <c r="F1048381" s="4"/>
      <c r="G1048381" s="5"/>
      <c r="H1048381" s="5"/>
      <c r="I1048381" s="5"/>
      <c r="J1048381" s="5"/>
      <c r="K1048381" s="5"/>
      <c r="L1048381" s="5"/>
      <c r="M1048381" s="5"/>
      <c r="N1048381" s="5"/>
      <c r="O1048381" s="5"/>
      <c r="P1048381" s="3"/>
      <c r="Q1048381" s="3"/>
      <c r="R1048381" s="3"/>
      <c r="S1048381" s="3"/>
      <c r="T1048381" s="3"/>
      <c r="U1048381" s="5"/>
      <c r="V1048381" s="3"/>
    </row>
    <row r="1048382" customFormat="1" spans="1:22">
      <c r="A1048382" s="5"/>
      <c r="B1048382" s="5"/>
      <c r="C1048382" s="5"/>
      <c r="D1048382" s="3"/>
      <c r="E1048382" s="4"/>
      <c r="F1048382" s="4"/>
      <c r="G1048382" s="5"/>
      <c r="H1048382" s="5"/>
      <c r="I1048382" s="5"/>
      <c r="J1048382" s="5"/>
      <c r="K1048382" s="5"/>
      <c r="L1048382" s="5"/>
      <c r="M1048382" s="5"/>
      <c r="N1048382" s="5"/>
      <c r="O1048382" s="5"/>
      <c r="P1048382" s="3"/>
      <c r="Q1048382" s="3"/>
      <c r="R1048382" s="3"/>
      <c r="S1048382" s="3"/>
      <c r="T1048382" s="3"/>
      <c r="U1048382" s="5"/>
      <c r="V1048382" s="3"/>
    </row>
    <row r="1048383" customFormat="1" spans="1:22">
      <c r="A1048383" s="5"/>
      <c r="B1048383" s="5"/>
      <c r="C1048383" s="5"/>
      <c r="D1048383" s="3"/>
      <c r="E1048383" s="4"/>
      <c r="F1048383" s="4"/>
      <c r="G1048383" s="5"/>
      <c r="H1048383" s="5"/>
      <c r="I1048383" s="5"/>
      <c r="J1048383" s="5"/>
      <c r="K1048383" s="5"/>
      <c r="L1048383" s="5"/>
      <c r="M1048383" s="5"/>
      <c r="N1048383" s="5"/>
      <c r="O1048383" s="5"/>
      <c r="P1048383" s="3"/>
      <c r="Q1048383" s="3"/>
      <c r="R1048383" s="3"/>
      <c r="S1048383" s="3"/>
      <c r="T1048383" s="3"/>
      <c r="U1048383" s="5"/>
      <c r="V1048383" s="3"/>
    </row>
    <row r="1048384" customFormat="1" spans="1:22">
      <c r="A1048384" s="5"/>
      <c r="B1048384" s="5"/>
      <c r="C1048384" s="5"/>
      <c r="D1048384" s="3"/>
      <c r="E1048384" s="4"/>
      <c r="F1048384" s="4"/>
      <c r="G1048384" s="5"/>
      <c r="H1048384" s="5"/>
      <c r="I1048384" s="5"/>
      <c r="J1048384" s="5"/>
      <c r="K1048384" s="5"/>
      <c r="L1048384" s="5"/>
      <c r="M1048384" s="5"/>
      <c r="N1048384" s="5"/>
      <c r="O1048384" s="5"/>
      <c r="P1048384" s="3"/>
      <c r="Q1048384" s="3"/>
      <c r="R1048384" s="3"/>
      <c r="S1048384" s="3"/>
      <c r="T1048384" s="3"/>
      <c r="U1048384" s="5"/>
      <c r="V1048384" s="3"/>
    </row>
    <row r="1048385" customFormat="1" spans="1:22">
      <c r="A1048385" s="5"/>
      <c r="B1048385" s="5"/>
      <c r="C1048385" s="5"/>
      <c r="D1048385" s="3"/>
      <c r="E1048385" s="4"/>
      <c r="F1048385" s="4"/>
      <c r="G1048385" s="5"/>
      <c r="H1048385" s="5"/>
      <c r="I1048385" s="5"/>
      <c r="J1048385" s="5"/>
      <c r="K1048385" s="5"/>
      <c r="L1048385" s="5"/>
      <c r="M1048385" s="5"/>
      <c r="N1048385" s="5"/>
      <c r="O1048385" s="5"/>
      <c r="P1048385" s="3"/>
      <c r="Q1048385" s="3"/>
      <c r="R1048385" s="3"/>
      <c r="S1048385" s="3"/>
      <c r="T1048385" s="3"/>
      <c r="U1048385" s="5"/>
      <c r="V1048385" s="3"/>
    </row>
    <row r="1048386" customFormat="1" spans="1:22">
      <c r="A1048386" s="5"/>
      <c r="B1048386" s="5"/>
      <c r="C1048386" s="5"/>
      <c r="D1048386" s="3"/>
      <c r="E1048386" s="4"/>
      <c r="F1048386" s="4"/>
      <c r="G1048386" s="5"/>
      <c r="H1048386" s="5"/>
      <c r="I1048386" s="5"/>
      <c r="J1048386" s="5"/>
      <c r="K1048386" s="5"/>
      <c r="L1048386" s="5"/>
      <c r="M1048386" s="5"/>
      <c r="N1048386" s="5"/>
      <c r="O1048386" s="5"/>
      <c r="P1048386" s="3"/>
      <c r="Q1048386" s="3"/>
      <c r="R1048386" s="3"/>
      <c r="S1048386" s="3"/>
      <c r="T1048386" s="3"/>
      <c r="U1048386" s="5"/>
      <c r="V1048386" s="3"/>
    </row>
    <row r="1048387" customFormat="1" spans="1:22">
      <c r="A1048387" s="5"/>
      <c r="B1048387" s="5"/>
      <c r="C1048387" s="5"/>
      <c r="D1048387" s="3"/>
      <c r="E1048387" s="4"/>
      <c r="F1048387" s="4"/>
      <c r="G1048387" s="5"/>
      <c r="H1048387" s="5"/>
      <c r="I1048387" s="5"/>
      <c r="J1048387" s="5"/>
      <c r="K1048387" s="5"/>
      <c r="L1048387" s="5"/>
      <c r="M1048387" s="5"/>
      <c r="N1048387" s="5"/>
      <c r="O1048387" s="5"/>
      <c r="P1048387" s="3"/>
      <c r="Q1048387" s="3"/>
      <c r="R1048387" s="3"/>
      <c r="S1048387" s="3"/>
      <c r="T1048387" s="3"/>
      <c r="U1048387" s="5"/>
      <c r="V1048387" s="3"/>
    </row>
    <row r="1048388" customFormat="1" spans="1:22">
      <c r="A1048388" s="5"/>
      <c r="B1048388" s="5"/>
      <c r="C1048388" s="5"/>
      <c r="D1048388" s="3"/>
      <c r="E1048388" s="4"/>
      <c r="F1048388" s="4"/>
      <c r="G1048388" s="5"/>
      <c r="H1048388" s="5"/>
      <c r="I1048388" s="5"/>
      <c r="J1048388" s="5"/>
      <c r="K1048388" s="5"/>
      <c r="L1048388" s="5"/>
      <c r="M1048388" s="5"/>
      <c r="N1048388" s="5"/>
      <c r="O1048388" s="5"/>
      <c r="P1048388" s="3"/>
      <c r="Q1048388" s="3"/>
      <c r="R1048388" s="3"/>
      <c r="S1048388" s="3"/>
      <c r="T1048388" s="3"/>
      <c r="U1048388" s="5"/>
      <c r="V1048388" s="3"/>
    </row>
    <row r="1048389" customFormat="1" spans="1:22">
      <c r="A1048389" s="5"/>
      <c r="B1048389" s="5"/>
      <c r="C1048389" s="5"/>
      <c r="D1048389" s="3"/>
      <c r="E1048389" s="4"/>
      <c r="F1048389" s="4"/>
      <c r="G1048389" s="5"/>
      <c r="H1048389" s="5"/>
      <c r="I1048389" s="5"/>
      <c r="J1048389" s="5"/>
      <c r="K1048389" s="5"/>
      <c r="L1048389" s="5"/>
      <c r="M1048389" s="5"/>
      <c r="N1048389" s="5"/>
      <c r="O1048389" s="5"/>
      <c r="P1048389" s="3"/>
      <c r="Q1048389" s="3"/>
      <c r="R1048389" s="3"/>
      <c r="S1048389" s="3"/>
      <c r="T1048389" s="3"/>
      <c r="U1048389" s="5"/>
      <c r="V1048389" s="3"/>
    </row>
    <row r="1048390" customFormat="1" spans="1:22">
      <c r="A1048390" s="5"/>
      <c r="B1048390" s="5"/>
      <c r="C1048390" s="5"/>
      <c r="D1048390" s="3"/>
      <c r="E1048390" s="4"/>
      <c r="F1048390" s="4"/>
      <c r="G1048390" s="5"/>
      <c r="H1048390" s="5"/>
      <c r="I1048390" s="5"/>
      <c r="J1048390" s="5"/>
      <c r="K1048390" s="5"/>
      <c r="L1048390" s="5"/>
      <c r="M1048390" s="5"/>
      <c r="N1048390" s="5"/>
      <c r="O1048390" s="5"/>
      <c r="P1048390" s="3"/>
      <c r="Q1048390" s="3"/>
      <c r="R1048390" s="3"/>
      <c r="S1048390" s="3"/>
      <c r="T1048390" s="3"/>
      <c r="U1048390" s="5"/>
      <c r="V1048390" s="3"/>
    </row>
    <row r="1048391" customFormat="1" spans="1:22">
      <c r="A1048391" s="5"/>
      <c r="B1048391" s="5"/>
      <c r="C1048391" s="5"/>
      <c r="D1048391" s="3"/>
      <c r="E1048391" s="4"/>
      <c r="F1048391" s="4"/>
      <c r="G1048391" s="5"/>
      <c r="H1048391" s="5"/>
      <c r="I1048391" s="5"/>
      <c r="J1048391" s="5"/>
      <c r="K1048391" s="5"/>
      <c r="L1048391" s="5"/>
      <c r="M1048391" s="5"/>
      <c r="N1048391" s="5"/>
      <c r="O1048391" s="5"/>
      <c r="P1048391" s="3"/>
      <c r="Q1048391" s="3"/>
      <c r="R1048391" s="3"/>
      <c r="S1048391" s="3"/>
      <c r="T1048391" s="3"/>
      <c r="U1048391" s="5"/>
      <c r="V1048391" s="3"/>
    </row>
    <row r="1048392" customFormat="1" spans="1:22">
      <c r="A1048392" s="5"/>
      <c r="B1048392" s="5"/>
      <c r="C1048392" s="5"/>
      <c r="D1048392" s="3"/>
      <c r="E1048392" s="4"/>
      <c r="F1048392" s="4"/>
      <c r="G1048392" s="5"/>
      <c r="H1048392" s="5"/>
      <c r="I1048392" s="5"/>
      <c r="J1048392" s="5"/>
      <c r="K1048392" s="5"/>
      <c r="L1048392" s="5"/>
      <c r="M1048392" s="5"/>
      <c r="N1048392" s="5"/>
      <c r="O1048392" s="5"/>
      <c r="P1048392" s="3"/>
      <c r="Q1048392" s="3"/>
      <c r="R1048392" s="3"/>
      <c r="S1048392" s="3"/>
      <c r="T1048392" s="3"/>
      <c r="U1048392" s="5"/>
      <c r="V1048392" s="3"/>
    </row>
    <row r="1048393" customFormat="1" spans="1:22">
      <c r="A1048393" s="5"/>
      <c r="B1048393" s="5"/>
      <c r="C1048393" s="5"/>
      <c r="D1048393" s="3"/>
      <c r="E1048393" s="4"/>
      <c r="F1048393" s="4"/>
      <c r="G1048393" s="5"/>
      <c r="H1048393" s="5"/>
      <c r="I1048393" s="5"/>
      <c r="J1048393" s="5"/>
      <c r="K1048393" s="5"/>
      <c r="L1048393" s="5"/>
      <c r="M1048393" s="5"/>
      <c r="N1048393" s="5"/>
      <c r="O1048393" s="5"/>
      <c r="P1048393" s="3"/>
      <c r="Q1048393" s="3"/>
      <c r="R1048393" s="3"/>
      <c r="S1048393" s="3"/>
      <c r="T1048393" s="3"/>
      <c r="U1048393" s="5"/>
      <c r="V1048393" s="3"/>
    </row>
    <row r="1048394" customFormat="1" spans="1:22">
      <c r="A1048394" s="5"/>
      <c r="B1048394" s="5"/>
      <c r="C1048394" s="5"/>
      <c r="D1048394" s="3"/>
      <c r="E1048394" s="4"/>
      <c r="F1048394" s="4"/>
      <c r="G1048394" s="5"/>
      <c r="H1048394" s="5"/>
      <c r="I1048394" s="5"/>
      <c r="J1048394" s="5"/>
      <c r="K1048394" s="5"/>
      <c r="L1048394" s="5"/>
      <c r="M1048394" s="5"/>
      <c r="N1048394" s="5"/>
      <c r="O1048394" s="5"/>
      <c r="P1048394" s="3"/>
      <c r="Q1048394" s="3"/>
      <c r="R1048394" s="3"/>
      <c r="S1048394" s="3"/>
      <c r="T1048394" s="3"/>
      <c r="U1048394" s="5"/>
      <c r="V1048394" s="3"/>
    </row>
    <row r="1048395" customFormat="1" spans="1:22">
      <c r="A1048395" s="5"/>
      <c r="B1048395" s="5"/>
      <c r="C1048395" s="5"/>
      <c r="D1048395" s="3"/>
      <c r="E1048395" s="4"/>
      <c r="F1048395" s="4"/>
      <c r="G1048395" s="5"/>
      <c r="H1048395" s="5"/>
      <c r="I1048395" s="5"/>
      <c r="J1048395" s="5"/>
      <c r="K1048395" s="5"/>
      <c r="L1048395" s="5"/>
      <c r="M1048395" s="5"/>
      <c r="N1048395" s="5"/>
      <c r="O1048395" s="5"/>
      <c r="P1048395" s="3"/>
      <c r="Q1048395" s="3"/>
      <c r="R1048395" s="3"/>
      <c r="S1048395" s="3"/>
      <c r="T1048395" s="3"/>
      <c r="U1048395" s="5"/>
      <c r="V1048395" s="3"/>
    </row>
    <row r="1048396" customFormat="1" spans="1:22">
      <c r="A1048396" s="5"/>
      <c r="B1048396" s="5"/>
      <c r="C1048396" s="5"/>
      <c r="D1048396" s="3"/>
      <c r="E1048396" s="4"/>
      <c r="F1048396" s="4"/>
      <c r="G1048396" s="5"/>
      <c r="H1048396" s="5"/>
      <c r="I1048396" s="5"/>
      <c r="J1048396" s="5"/>
      <c r="K1048396" s="5"/>
      <c r="L1048396" s="5"/>
      <c r="M1048396" s="5"/>
      <c r="N1048396" s="5"/>
      <c r="O1048396" s="5"/>
      <c r="P1048396" s="3"/>
      <c r="Q1048396" s="3"/>
      <c r="R1048396" s="3"/>
      <c r="S1048396" s="3"/>
      <c r="T1048396" s="3"/>
      <c r="U1048396" s="5"/>
      <c r="V1048396" s="3"/>
    </row>
    <row r="1048397" customFormat="1" spans="1:22">
      <c r="A1048397" s="5"/>
      <c r="B1048397" s="5"/>
      <c r="C1048397" s="5"/>
      <c r="D1048397" s="3"/>
      <c r="E1048397" s="4"/>
      <c r="F1048397" s="4"/>
      <c r="G1048397" s="5"/>
      <c r="H1048397" s="5"/>
      <c r="I1048397" s="5"/>
      <c r="J1048397" s="5"/>
      <c r="K1048397" s="5"/>
      <c r="L1048397" s="5"/>
      <c r="M1048397" s="5"/>
      <c r="N1048397" s="5"/>
      <c r="O1048397" s="5"/>
      <c r="P1048397" s="3"/>
      <c r="Q1048397" s="3"/>
      <c r="R1048397" s="3"/>
      <c r="S1048397" s="3"/>
      <c r="T1048397" s="3"/>
      <c r="U1048397" s="5"/>
      <c r="V1048397" s="3"/>
    </row>
    <row r="1048398" customFormat="1" spans="1:22">
      <c r="A1048398" s="5"/>
      <c r="B1048398" s="5"/>
      <c r="C1048398" s="5"/>
      <c r="D1048398" s="3"/>
      <c r="E1048398" s="4"/>
      <c r="F1048398" s="4"/>
      <c r="G1048398" s="5"/>
      <c r="H1048398" s="5"/>
      <c r="I1048398" s="5"/>
      <c r="J1048398" s="5"/>
      <c r="K1048398" s="5"/>
      <c r="L1048398" s="5"/>
      <c r="M1048398" s="5"/>
      <c r="N1048398" s="5"/>
      <c r="O1048398" s="5"/>
      <c r="P1048398" s="3"/>
      <c r="Q1048398" s="3"/>
      <c r="R1048398" s="3"/>
      <c r="S1048398" s="3"/>
      <c r="T1048398" s="3"/>
      <c r="U1048398" s="5"/>
      <c r="V1048398" s="3"/>
    </row>
    <row r="1048399" customFormat="1" spans="1:22">
      <c r="A1048399" s="5"/>
      <c r="B1048399" s="5"/>
      <c r="C1048399" s="5"/>
      <c r="D1048399" s="3"/>
      <c r="E1048399" s="4"/>
      <c r="F1048399" s="4"/>
      <c r="G1048399" s="5"/>
      <c r="H1048399" s="5"/>
      <c r="I1048399" s="5"/>
      <c r="J1048399" s="5"/>
      <c r="K1048399" s="5"/>
      <c r="L1048399" s="5"/>
      <c r="M1048399" s="5"/>
      <c r="N1048399" s="5"/>
      <c r="O1048399" s="5"/>
      <c r="P1048399" s="3"/>
      <c r="Q1048399" s="3"/>
      <c r="R1048399" s="3"/>
      <c r="S1048399" s="3"/>
      <c r="T1048399" s="3"/>
      <c r="U1048399" s="5"/>
      <c r="V1048399" s="3"/>
    </row>
    <row r="1048400" customFormat="1" spans="1:22">
      <c r="A1048400" s="5"/>
      <c r="B1048400" s="5"/>
      <c r="C1048400" s="5"/>
      <c r="D1048400" s="3"/>
      <c r="E1048400" s="4"/>
      <c r="F1048400" s="4"/>
      <c r="G1048400" s="5"/>
      <c r="H1048400" s="5"/>
      <c r="I1048400" s="5"/>
      <c r="J1048400" s="5"/>
      <c r="K1048400" s="5"/>
      <c r="L1048400" s="5"/>
      <c r="M1048400" s="5"/>
      <c r="N1048400" s="5"/>
      <c r="O1048400" s="5"/>
      <c r="P1048400" s="3"/>
      <c r="Q1048400" s="3"/>
      <c r="R1048400" s="3"/>
      <c r="S1048400" s="3"/>
      <c r="T1048400" s="3"/>
      <c r="U1048400" s="5"/>
      <c r="V1048400" s="3"/>
    </row>
    <row r="1048401" customFormat="1" spans="1:22">
      <c r="A1048401" s="5"/>
      <c r="B1048401" s="5"/>
      <c r="C1048401" s="5"/>
      <c r="D1048401" s="3"/>
      <c r="E1048401" s="4"/>
      <c r="F1048401" s="4"/>
      <c r="G1048401" s="5"/>
      <c r="H1048401" s="5"/>
      <c r="I1048401" s="5"/>
      <c r="J1048401" s="5"/>
      <c r="K1048401" s="5"/>
      <c r="L1048401" s="5"/>
      <c r="M1048401" s="5"/>
      <c r="N1048401" s="5"/>
      <c r="O1048401" s="5"/>
      <c r="P1048401" s="3"/>
      <c r="Q1048401" s="3"/>
      <c r="R1048401" s="3"/>
      <c r="S1048401" s="3"/>
      <c r="T1048401" s="3"/>
      <c r="U1048401" s="5"/>
      <c r="V1048401" s="3"/>
    </row>
    <row r="1048402" customFormat="1" spans="1:22">
      <c r="A1048402" s="5"/>
      <c r="B1048402" s="5"/>
      <c r="C1048402" s="5"/>
      <c r="D1048402" s="3"/>
      <c r="E1048402" s="4"/>
      <c r="F1048402" s="4"/>
      <c r="G1048402" s="5"/>
      <c r="H1048402" s="5"/>
      <c r="I1048402" s="5"/>
      <c r="J1048402" s="5"/>
      <c r="K1048402" s="5"/>
      <c r="L1048402" s="5"/>
      <c r="M1048402" s="5"/>
      <c r="N1048402" s="5"/>
      <c r="O1048402" s="5"/>
      <c r="P1048402" s="3"/>
      <c r="Q1048402" s="3"/>
      <c r="R1048402" s="3"/>
      <c r="S1048402" s="3"/>
      <c r="T1048402" s="3"/>
      <c r="U1048402" s="5"/>
      <c r="V1048402" s="3"/>
    </row>
    <row r="1048403" customFormat="1" spans="1:22">
      <c r="A1048403" s="5"/>
      <c r="B1048403" s="5"/>
      <c r="C1048403" s="5"/>
      <c r="D1048403" s="3"/>
      <c r="E1048403" s="4"/>
      <c r="F1048403" s="4"/>
      <c r="G1048403" s="5"/>
      <c r="H1048403" s="5"/>
      <c r="I1048403" s="5"/>
      <c r="J1048403" s="5"/>
      <c r="K1048403" s="5"/>
      <c r="L1048403" s="5"/>
      <c r="M1048403" s="5"/>
      <c r="N1048403" s="5"/>
      <c r="O1048403" s="5"/>
      <c r="P1048403" s="3"/>
      <c r="Q1048403" s="3"/>
      <c r="R1048403" s="3"/>
      <c r="S1048403" s="3"/>
      <c r="T1048403" s="3"/>
      <c r="U1048403" s="5"/>
      <c r="V1048403" s="3"/>
    </row>
    <row r="1048404" customFormat="1" spans="1:22">
      <c r="A1048404" s="5"/>
      <c r="B1048404" s="5"/>
      <c r="C1048404" s="5"/>
      <c r="D1048404" s="3"/>
      <c r="E1048404" s="4"/>
      <c r="F1048404" s="4"/>
      <c r="G1048404" s="5"/>
      <c r="H1048404" s="5"/>
      <c r="I1048404" s="5"/>
      <c r="J1048404" s="5"/>
      <c r="K1048404" s="5"/>
      <c r="L1048404" s="5"/>
      <c r="M1048404" s="5"/>
      <c r="N1048404" s="5"/>
      <c r="O1048404" s="5"/>
      <c r="P1048404" s="3"/>
      <c r="Q1048404" s="3"/>
      <c r="R1048404" s="3"/>
      <c r="S1048404" s="3"/>
      <c r="T1048404" s="3"/>
      <c r="U1048404" s="5"/>
      <c r="V1048404" s="3"/>
    </row>
    <row r="1048405" customFormat="1" spans="1:22">
      <c r="A1048405" s="5"/>
      <c r="B1048405" s="5"/>
      <c r="C1048405" s="5"/>
      <c r="D1048405" s="3"/>
      <c r="E1048405" s="4"/>
      <c r="F1048405" s="4"/>
      <c r="G1048405" s="5"/>
      <c r="H1048405" s="5"/>
      <c r="I1048405" s="5"/>
      <c r="J1048405" s="5"/>
      <c r="K1048405" s="5"/>
      <c r="L1048405" s="5"/>
      <c r="M1048405" s="5"/>
      <c r="N1048405" s="5"/>
      <c r="O1048405" s="5"/>
      <c r="P1048405" s="3"/>
      <c r="Q1048405" s="3"/>
      <c r="R1048405" s="3"/>
      <c r="S1048405" s="3"/>
      <c r="T1048405" s="3"/>
      <c r="U1048405" s="5"/>
      <c r="V1048405" s="3"/>
    </row>
    <row r="1048406" customFormat="1" spans="1:22">
      <c r="A1048406" s="5"/>
      <c r="B1048406" s="5"/>
      <c r="C1048406" s="5"/>
      <c r="D1048406" s="3"/>
      <c r="E1048406" s="4"/>
      <c r="F1048406" s="4"/>
      <c r="G1048406" s="5"/>
      <c r="H1048406" s="5"/>
      <c r="I1048406" s="5"/>
      <c r="J1048406" s="5"/>
      <c r="K1048406" s="5"/>
      <c r="L1048406" s="5"/>
      <c r="M1048406" s="5"/>
      <c r="N1048406" s="5"/>
      <c r="O1048406" s="5"/>
      <c r="P1048406" s="3"/>
      <c r="Q1048406" s="3"/>
      <c r="R1048406" s="3"/>
      <c r="S1048406" s="3"/>
      <c r="T1048406" s="3"/>
      <c r="U1048406" s="5"/>
      <c r="V1048406" s="3"/>
    </row>
    <row r="1048407" customFormat="1" spans="1:22">
      <c r="A1048407" s="5"/>
      <c r="B1048407" s="5"/>
      <c r="C1048407" s="5"/>
      <c r="D1048407" s="3"/>
      <c r="E1048407" s="4"/>
      <c r="F1048407" s="4"/>
      <c r="G1048407" s="5"/>
      <c r="H1048407" s="5"/>
      <c r="I1048407" s="5"/>
      <c r="J1048407" s="5"/>
      <c r="K1048407" s="5"/>
      <c r="L1048407" s="5"/>
      <c r="M1048407" s="5"/>
      <c r="N1048407" s="5"/>
      <c r="O1048407" s="5"/>
      <c r="P1048407" s="3"/>
      <c r="Q1048407" s="3"/>
      <c r="R1048407" s="3"/>
      <c r="S1048407" s="3"/>
      <c r="T1048407" s="3"/>
      <c r="U1048407" s="5"/>
      <c r="V1048407" s="3"/>
    </row>
    <row r="1048408" customFormat="1" spans="1:22">
      <c r="A1048408" s="5"/>
      <c r="B1048408" s="5"/>
      <c r="C1048408" s="5"/>
      <c r="D1048408" s="3"/>
      <c r="E1048408" s="4"/>
      <c r="F1048408" s="4"/>
      <c r="G1048408" s="5"/>
      <c r="H1048408" s="5"/>
      <c r="I1048408" s="5"/>
      <c r="J1048408" s="5"/>
      <c r="K1048408" s="5"/>
      <c r="L1048408" s="5"/>
      <c r="M1048408" s="5"/>
      <c r="N1048408" s="5"/>
      <c r="O1048408" s="5"/>
      <c r="P1048408" s="3"/>
      <c r="Q1048408" s="3"/>
      <c r="R1048408" s="3"/>
      <c r="S1048408" s="3"/>
      <c r="T1048408" s="3"/>
      <c r="U1048408" s="5"/>
      <c r="V1048408" s="3"/>
    </row>
    <row r="1048409" customFormat="1" spans="1:22">
      <c r="A1048409" s="5"/>
      <c r="B1048409" s="5"/>
      <c r="C1048409" s="5"/>
      <c r="D1048409" s="3"/>
      <c r="E1048409" s="4"/>
      <c r="F1048409" s="4"/>
      <c r="G1048409" s="5"/>
      <c r="H1048409" s="5"/>
      <c r="I1048409" s="5"/>
      <c r="J1048409" s="5"/>
      <c r="K1048409" s="5"/>
      <c r="L1048409" s="5"/>
      <c r="M1048409" s="5"/>
      <c r="N1048409" s="5"/>
      <c r="O1048409" s="5"/>
      <c r="P1048409" s="3"/>
      <c r="Q1048409" s="3"/>
      <c r="R1048409" s="3"/>
      <c r="S1048409" s="3"/>
      <c r="T1048409" s="3"/>
      <c r="U1048409" s="5"/>
      <c r="V1048409" s="3"/>
    </row>
    <row r="1048410" customFormat="1" spans="1:22">
      <c r="A1048410" s="5"/>
      <c r="B1048410" s="5"/>
      <c r="C1048410" s="5"/>
      <c r="D1048410" s="3"/>
      <c r="E1048410" s="4"/>
      <c r="F1048410" s="4"/>
      <c r="G1048410" s="5"/>
      <c r="H1048410" s="5"/>
      <c r="I1048410" s="5"/>
      <c r="J1048410" s="5"/>
      <c r="K1048410" s="5"/>
      <c r="L1048410" s="5"/>
      <c r="M1048410" s="5"/>
      <c r="N1048410" s="5"/>
      <c r="O1048410" s="5"/>
      <c r="P1048410" s="3"/>
      <c r="Q1048410" s="3"/>
      <c r="R1048410" s="3"/>
      <c r="S1048410" s="3"/>
      <c r="T1048410" s="3"/>
      <c r="U1048410" s="5"/>
      <c r="V1048410" s="3"/>
    </row>
    <row r="1048411" customFormat="1" spans="1:22">
      <c r="A1048411" s="5"/>
      <c r="B1048411" s="5"/>
      <c r="C1048411" s="5"/>
      <c r="D1048411" s="3"/>
      <c r="E1048411" s="4"/>
      <c r="F1048411" s="4"/>
      <c r="G1048411" s="5"/>
      <c r="H1048411" s="5"/>
      <c r="I1048411" s="5"/>
      <c r="J1048411" s="5"/>
      <c r="K1048411" s="5"/>
      <c r="L1048411" s="5"/>
      <c r="M1048411" s="5"/>
      <c r="N1048411" s="5"/>
      <c r="O1048411" s="5"/>
      <c r="P1048411" s="3"/>
      <c r="Q1048411" s="3"/>
      <c r="R1048411" s="3"/>
      <c r="S1048411" s="3"/>
      <c r="T1048411" s="3"/>
      <c r="U1048411" s="5"/>
      <c r="V1048411" s="3"/>
    </row>
    <row r="1048412" customFormat="1" spans="1:22">
      <c r="A1048412" s="5"/>
      <c r="B1048412" s="5"/>
      <c r="C1048412" s="5"/>
      <c r="D1048412" s="3"/>
      <c r="E1048412" s="4"/>
      <c r="F1048412" s="4"/>
      <c r="G1048412" s="5"/>
      <c r="H1048412" s="5"/>
      <c r="I1048412" s="5"/>
      <c r="J1048412" s="5"/>
      <c r="K1048412" s="5"/>
      <c r="L1048412" s="5"/>
      <c r="M1048412" s="5"/>
      <c r="N1048412" s="5"/>
      <c r="O1048412" s="5"/>
      <c r="P1048412" s="3"/>
      <c r="Q1048412" s="3"/>
      <c r="R1048412" s="3"/>
      <c r="S1048412" s="3"/>
      <c r="T1048412" s="3"/>
      <c r="U1048412" s="5"/>
      <c r="V1048412" s="3"/>
    </row>
    <row r="1048413" customFormat="1" spans="1:22">
      <c r="A1048413" s="5"/>
      <c r="B1048413" s="5"/>
      <c r="C1048413" s="5"/>
      <c r="D1048413" s="3"/>
      <c r="E1048413" s="4"/>
      <c r="F1048413" s="4"/>
      <c r="G1048413" s="5"/>
      <c r="H1048413" s="5"/>
      <c r="I1048413" s="5"/>
      <c r="J1048413" s="5"/>
      <c r="K1048413" s="5"/>
      <c r="L1048413" s="5"/>
      <c r="M1048413" s="5"/>
      <c r="N1048413" s="5"/>
      <c r="O1048413" s="5"/>
      <c r="P1048413" s="3"/>
      <c r="Q1048413" s="3"/>
      <c r="R1048413" s="3"/>
      <c r="S1048413" s="3"/>
      <c r="T1048413" s="3"/>
      <c r="U1048413" s="5"/>
      <c r="V1048413" s="3"/>
    </row>
    <row r="1048414" customFormat="1" spans="1:22">
      <c r="A1048414" s="5"/>
      <c r="B1048414" s="5"/>
      <c r="C1048414" s="5"/>
      <c r="D1048414" s="3"/>
      <c r="E1048414" s="4"/>
      <c r="F1048414" s="4"/>
      <c r="G1048414" s="5"/>
      <c r="H1048414" s="5"/>
      <c r="I1048414" s="5"/>
      <c r="J1048414" s="5"/>
      <c r="K1048414" s="5"/>
      <c r="L1048414" s="5"/>
      <c r="M1048414" s="5"/>
      <c r="N1048414" s="5"/>
      <c r="O1048414" s="5"/>
      <c r="P1048414" s="3"/>
      <c r="Q1048414" s="3"/>
      <c r="R1048414" s="3"/>
      <c r="S1048414" s="3"/>
      <c r="T1048414" s="3"/>
      <c r="U1048414" s="5"/>
      <c r="V1048414" s="3"/>
    </row>
    <row r="1048415" customFormat="1" spans="1:22">
      <c r="A1048415" s="5"/>
      <c r="B1048415" s="5"/>
      <c r="C1048415" s="5"/>
      <c r="D1048415" s="3"/>
      <c r="E1048415" s="4"/>
      <c r="F1048415" s="4"/>
      <c r="G1048415" s="5"/>
      <c r="H1048415" s="5"/>
      <c r="I1048415" s="5"/>
      <c r="J1048415" s="5"/>
      <c r="K1048415" s="5"/>
      <c r="L1048415" s="5"/>
      <c r="M1048415" s="5"/>
      <c r="N1048415" s="5"/>
      <c r="O1048415" s="5"/>
      <c r="P1048415" s="3"/>
      <c r="Q1048415" s="3"/>
      <c r="R1048415" s="3"/>
      <c r="S1048415" s="3"/>
      <c r="T1048415" s="3"/>
      <c r="U1048415" s="5"/>
      <c r="V1048415" s="3"/>
    </row>
    <row r="1048416" customFormat="1" spans="1:22">
      <c r="A1048416" s="5"/>
      <c r="B1048416" s="5"/>
      <c r="C1048416" s="5"/>
      <c r="D1048416" s="3"/>
      <c r="E1048416" s="4"/>
      <c r="F1048416" s="4"/>
      <c r="G1048416" s="5"/>
      <c r="H1048416" s="5"/>
      <c r="I1048416" s="5"/>
      <c r="J1048416" s="5"/>
      <c r="K1048416" s="5"/>
      <c r="L1048416" s="5"/>
      <c r="M1048416" s="5"/>
      <c r="N1048416" s="5"/>
      <c r="O1048416" s="5"/>
      <c r="P1048416" s="3"/>
      <c r="Q1048416" s="3"/>
      <c r="R1048416" s="3"/>
      <c r="S1048416" s="3"/>
      <c r="T1048416" s="3"/>
      <c r="U1048416" s="5"/>
      <c r="V1048416" s="3"/>
    </row>
    <row r="1048417" customFormat="1" spans="1:22">
      <c r="A1048417" s="5"/>
      <c r="B1048417" s="5"/>
      <c r="C1048417" s="5"/>
      <c r="D1048417" s="3"/>
      <c r="E1048417" s="4"/>
      <c r="F1048417" s="4"/>
      <c r="G1048417" s="5"/>
      <c r="H1048417" s="5"/>
      <c r="I1048417" s="5"/>
      <c r="J1048417" s="5"/>
      <c r="K1048417" s="5"/>
      <c r="L1048417" s="5"/>
      <c r="M1048417" s="5"/>
      <c r="N1048417" s="5"/>
      <c r="O1048417" s="5"/>
      <c r="P1048417" s="3"/>
      <c r="Q1048417" s="3"/>
      <c r="R1048417" s="3"/>
      <c r="S1048417" s="3"/>
      <c r="T1048417" s="3"/>
      <c r="U1048417" s="5"/>
      <c r="V1048417" s="3"/>
    </row>
    <row r="1048418" customFormat="1" spans="1:22">
      <c r="A1048418" s="5"/>
      <c r="B1048418" s="5"/>
      <c r="C1048418" s="5"/>
      <c r="D1048418" s="3"/>
      <c r="E1048418" s="4"/>
      <c r="F1048418" s="4"/>
      <c r="G1048418" s="5"/>
      <c r="H1048418" s="5"/>
      <c r="I1048418" s="5"/>
      <c r="J1048418" s="5"/>
      <c r="K1048418" s="5"/>
      <c r="L1048418" s="5"/>
      <c r="M1048418" s="5"/>
      <c r="N1048418" s="5"/>
      <c r="O1048418" s="5"/>
      <c r="P1048418" s="3"/>
      <c r="Q1048418" s="3"/>
      <c r="R1048418" s="3"/>
      <c r="S1048418" s="3"/>
      <c r="T1048418" s="3"/>
      <c r="U1048418" s="5"/>
      <c r="V1048418" s="3"/>
    </row>
    <row r="1048419" customFormat="1" spans="1:22">
      <c r="A1048419" s="5"/>
      <c r="B1048419" s="5"/>
      <c r="C1048419" s="5"/>
      <c r="D1048419" s="3"/>
      <c r="E1048419" s="4"/>
      <c r="F1048419" s="4"/>
      <c r="G1048419" s="5"/>
      <c r="H1048419" s="5"/>
      <c r="I1048419" s="5"/>
      <c r="J1048419" s="5"/>
      <c r="K1048419" s="5"/>
      <c r="L1048419" s="5"/>
      <c r="M1048419" s="5"/>
      <c r="N1048419" s="5"/>
      <c r="O1048419" s="5"/>
      <c r="P1048419" s="3"/>
      <c r="Q1048419" s="3"/>
      <c r="R1048419" s="3"/>
      <c r="S1048419" s="3"/>
      <c r="T1048419" s="3"/>
      <c r="U1048419" s="5"/>
      <c r="V1048419" s="3"/>
    </row>
    <row r="1048420" customFormat="1" spans="1:22">
      <c r="A1048420" s="5"/>
      <c r="B1048420" s="5"/>
      <c r="C1048420" s="5"/>
      <c r="D1048420" s="3"/>
      <c r="E1048420" s="4"/>
      <c r="F1048420" s="4"/>
      <c r="G1048420" s="5"/>
      <c r="H1048420" s="5"/>
      <c r="I1048420" s="5"/>
      <c r="J1048420" s="5"/>
      <c r="K1048420" s="5"/>
      <c r="L1048420" s="5"/>
      <c r="M1048420" s="5"/>
      <c r="N1048420" s="5"/>
      <c r="O1048420" s="5"/>
      <c r="P1048420" s="3"/>
      <c r="Q1048420" s="3"/>
      <c r="R1048420" s="3"/>
      <c r="S1048420" s="3"/>
      <c r="T1048420" s="3"/>
      <c r="U1048420" s="5"/>
      <c r="V1048420" s="3"/>
    </row>
    <row r="1048421" customFormat="1" spans="1:22">
      <c r="A1048421" s="5"/>
      <c r="B1048421" s="5"/>
      <c r="C1048421" s="5"/>
      <c r="D1048421" s="3"/>
      <c r="E1048421" s="4"/>
      <c r="F1048421" s="4"/>
      <c r="G1048421" s="5"/>
      <c r="H1048421" s="5"/>
      <c r="I1048421" s="5"/>
      <c r="J1048421" s="5"/>
      <c r="K1048421" s="5"/>
      <c r="L1048421" s="5"/>
      <c r="M1048421" s="5"/>
      <c r="N1048421" s="5"/>
      <c r="O1048421" s="5"/>
      <c r="P1048421" s="3"/>
      <c r="Q1048421" s="3"/>
      <c r="R1048421" s="3"/>
      <c r="S1048421" s="3"/>
      <c r="T1048421" s="3"/>
      <c r="U1048421" s="5"/>
      <c r="V1048421" s="3"/>
    </row>
    <row r="1048422" customFormat="1" spans="1:22">
      <c r="A1048422" s="5"/>
      <c r="B1048422" s="5"/>
      <c r="C1048422" s="5"/>
      <c r="D1048422" s="3"/>
      <c r="E1048422" s="4"/>
      <c r="F1048422" s="4"/>
      <c r="G1048422" s="5"/>
      <c r="H1048422" s="5"/>
      <c r="I1048422" s="5"/>
      <c r="J1048422" s="5"/>
      <c r="K1048422" s="5"/>
      <c r="L1048422" s="5"/>
      <c r="M1048422" s="5"/>
      <c r="N1048422" s="5"/>
      <c r="O1048422" s="5"/>
      <c r="P1048422" s="3"/>
      <c r="Q1048422" s="3"/>
      <c r="R1048422" s="3"/>
      <c r="S1048422" s="3"/>
      <c r="T1048422" s="3"/>
      <c r="U1048422" s="5"/>
      <c r="V1048422" s="3"/>
    </row>
    <row r="1048423" customFormat="1" spans="1:22">
      <c r="A1048423" s="5"/>
      <c r="B1048423" s="5"/>
      <c r="C1048423" s="5"/>
      <c r="D1048423" s="3"/>
      <c r="E1048423" s="4"/>
      <c r="F1048423" s="4"/>
      <c r="G1048423" s="5"/>
      <c r="H1048423" s="5"/>
      <c r="I1048423" s="5"/>
      <c r="J1048423" s="5"/>
      <c r="K1048423" s="5"/>
      <c r="L1048423" s="5"/>
      <c r="M1048423" s="5"/>
      <c r="N1048423" s="5"/>
      <c r="O1048423" s="5"/>
      <c r="P1048423" s="3"/>
      <c r="Q1048423" s="3"/>
      <c r="R1048423" s="3"/>
      <c r="S1048423" s="3"/>
      <c r="T1048423" s="3"/>
      <c r="U1048423" s="5"/>
      <c r="V1048423" s="3"/>
    </row>
    <row r="1048424" customFormat="1" spans="1:22">
      <c r="A1048424" s="5"/>
      <c r="B1048424" s="5"/>
      <c r="C1048424" s="5"/>
      <c r="D1048424" s="3"/>
      <c r="E1048424" s="4"/>
      <c r="F1048424" s="4"/>
      <c r="G1048424" s="5"/>
      <c r="H1048424" s="5"/>
      <c r="I1048424" s="5"/>
      <c r="J1048424" s="5"/>
      <c r="K1048424" s="5"/>
      <c r="L1048424" s="5"/>
      <c r="M1048424" s="5"/>
      <c r="N1048424" s="5"/>
      <c r="O1048424" s="5"/>
      <c r="P1048424" s="3"/>
      <c r="Q1048424" s="3"/>
      <c r="R1048424" s="3"/>
      <c r="S1048424" s="3"/>
      <c r="T1048424" s="3"/>
      <c r="U1048424" s="5"/>
      <c r="V1048424" s="3"/>
    </row>
    <row r="1048425" customFormat="1" spans="1:22">
      <c r="A1048425" s="5"/>
      <c r="B1048425" s="5"/>
      <c r="C1048425" s="5"/>
      <c r="D1048425" s="3"/>
      <c r="E1048425" s="4"/>
      <c r="F1048425" s="4"/>
      <c r="G1048425" s="5"/>
      <c r="H1048425" s="5"/>
      <c r="I1048425" s="5"/>
      <c r="J1048425" s="5"/>
      <c r="K1048425" s="5"/>
      <c r="L1048425" s="5"/>
      <c r="M1048425" s="5"/>
      <c r="N1048425" s="5"/>
      <c r="O1048425" s="5"/>
      <c r="P1048425" s="3"/>
      <c r="Q1048425" s="3"/>
      <c r="R1048425" s="3"/>
      <c r="S1048425" s="3"/>
      <c r="T1048425" s="3"/>
      <c r="U1048425" s="5"/>
      <c r="V1048425" s="3"/>
    </row>
    <row r="1048426" customFormat="1" spans="1:22">
      <c r="A1048426" s="5"/>
      <c r="B1048426" s="5"/>
      <c r="C1048426" s="5"/>
      <c r="D1048426" s="3"/>
      <c r="E1048426" s="4"/>
      <c r="F1048426" s="4"/>
      <c r="G1048426" s="5"/>
      <c r="H1048426" s="5"/>
      <c r="I1048426" s="5"/>
      <c r="J1048426" s="5"/>
      <c r="K1048426" s="5"/>
      <c r="L1048426" s="5"/>
      <c r="M1048426" s="5"/>
      <c r="N1048426" s="5"/>
      <c r="O1048426" s="5"/>
      <c r="P1048426" s="3"/>
      <c r="Q1048426" s="3"/>
      <c r="R1048426" s="3"/>
      <c r="S1048426" s="3"/>
      <c r="T1048426" s="3"/>
      <c r="U1048426" s="5"/>
      <c r="V1048426" s="3"/>
    </row>
    <row r="1048427" customFormat="1" spans="1:22">
      <c r="A1048427" s="5"/>
      <c r="B1048427" s="5"/>
      <c r="C1048427" s="5"/>
      <c r="D1048427" s="3"/>
      <c r="E1048427" s="4"/>
      <c r="F1048427" s="4"/>
      <c r="G1048427" s="5"/>
      <c r="H1048427" s="5"/>
      <c r="I1048427" s="5"/>
      <c r="J1048427" s="5"/>
      <c r="K1048427" s="5"/>
      <c r="L1048427" s="5"/>
      <c r="M1048427" s="5"/>
      <c r="N1048427" s="5"/>
      <c r="O1048427" s="5"/>
      <c r="P1048427" s="3"/>
      <c r="Q1048427" s="3"/>
      <c r="R1048427" s="3"/>
      <c r="S1048427" s="3"/>
      <c r="T1048427" s="3"/>
      <c r="U1048427" s="5"/>
      <c r="V1048427" s="3"/>
    </row>
    <row r="1048428" customFormat="1" spans="1:22">
      <c r="A1048428" s="5"/>
      <c r="B1048428" s="5"/>
      <c r="C1048428" s="5"/>
      <c r="D1048428" s="3"/>
      <c r="E1048428" s="4"/>
      <c r="F1048428" s="4"/>
      <c r="G1048428" s="5"/>
      <c r="H1048428" s="5"/>
      <c r="I1048428" s="5"/>
      <c r="J1048428" s="5"/>
      <c r="K1048428" s="5"/>
      <c r="L1048428" s="5"/>
      <c r="M1048428" s="5"/>
      <c r="N1048428" s="5"/>
      <c r="O1048428" s="5"/>
      <c r="P1048428" s="3"/>
      <c r="Q1048428" s="3"/>
      <c r="R1048428" s="3"/>
      <c r="S1048428" s="3"/>
      <c r="T1048428" s="3"/>
      <c r="U1048428" s="5"/>
      <c r="V1048428" s="3"/>
    </row>
    <row r="1048429" customFormat="1" spans="1:22">
      <c r="A1048429" s="5"/>
      <c r="B1048429" s="5"/>
      <c r="C1048429" s="5"/>
      <c r="D1048429" s="3"/>
      <c r="E1048429" s="4"/>
      <c r="F1048429" s="4"/>
      <c r="G1048429" s="5"/>
      <c r="H1048429" s="5"/>
      <c r="I1048429" s="5"/>
      <c r="J1048429" s="5"/>
      <c r="K1048429" s="5"/>
      <c r="L1048429" s="5"/>
      <c r="M1048429" s="5"/>
      <c r="N1048429" s="5"/>
      <c r="O1048429" s="5"/>
      <c r="P1048429" s="3"/>
      <c r="Q1048429" s="3"/>
      <c r="R1048429" s="3"/>
      <c r="S1048429" s="3"/>
      <c r="T1048429" s="3"/>
      <c r="U1048429" s="5"/>
      <c r="V1048429" s="3"/>
    </row>
    <row r="1048430" customFormat="1" spans="1:22">
      <c r="A1048430" s="5"/>
      <c r="B1048430" s="5"/>
      <c r="C1048430" s="5"/>
      <c r="D1048430" s="3"/>
      <c r="E1048430" s="4"/>
      <c r="F1048430" s="4"/>
      <c r="G1048430" s="5"/>
      <c r="H1048430" s="5"/>
      <c r="I1048430" s="5"/>
      <c r="J1048430" s="5"/>
      <c r="K1048430" s="5"/>
      <c r="L1048430" s="5"/>
      <c r="M1048430" s="5"/>
      <c r="N1048430" s="5"/>
      <c r="O1048430" s="5"/>
      <c r="P1048430" s="3"/>
      <c r="Q1048430" s="3"/>
      <c r="R1048430" s="3"/>
      <c r="S1048430" s="3"/>
      <c r="T1048430" s="3"/>
      <c r="U1048430" s="5"/>
      <c r="V1048430" s="3"/>
    </row>
    <row r="1048431" customFormat="1" spans="1:22">
      <c r="A1048431" s="5"/>
      <c r="B1048431" s="5"/>
      <c r="C1048431" s="5"/>
      <c r="D1048431" s="3"/>
      <c r="E1048431" s="4"/>
      <c r="F1048431" s="4"/>
      <c r="G1048431" s="5"/>
      <c r="H1048431" s="5"/>
      <c r="I1048431" s="5"/>
      <c r="J1048431" s="5"/>
      <c r="K1048431" s="5"/>
      <c r="L1048431" s="5"/>
      <c r="M1048431" s="5"/>
      <c r="N1048431" s="5"/>
      <c r="O1048431" s="5"/>
      <c r="P1048431" s="3"/>
      <c r="Q1048431" s="3"/>
      <c r="R1048431" s="3"/>
      <c r="S1048431" s="3"/>
      <c r="T1048431" s="3"/>
      <c r="U1048431" s="5"/>
      <c r="V1048431" s="3"/>
    </row>
    <row r="1048432" customFormat="1" spans="1:22">
      <c r="A1048432" s="5"/>
      <c r="B1048432" s="5"/>
      <c r="C1048432" s="5"/>
      <c r="D1048432" s="3"/>
      <c r="E1048432" s="4"/>
      <c r="F1048432" s="4"/>
      <c r="G1048432" s="5"/>
      <c r="H1048432" s="5"/>
      <c r="I1048432" s="5"/>
      <c r="J1048432" s="5"/>
      <c r="K1048432" s="5"/>
      <c r="L1048432" s="5"/>
      <c r="M1048432" s="5"/>
      <c r="N1048432" s="5"/>
      <c r="O1048432" s="5"/>
      <c r="P1048432" s="3"/>
      <c r="Q1048432" s="3"/>
      <c r="R1048432" s="3"/>
      <c r="S1048432" s="3"/>
      <c r="T1048432" s="3"/>
      <c r="U1048432" s="5"/>
      <c r="V1048432" s="3"/>
    </row>
    <row r="1048433" customFormat="1" spans="1:22">
      <c r="A1048433" s="5"/>
      <c r="B1048433" s="5"/>
      <c r="C1048433" s="5"/>
      <c r="D1048433" s="3"/>
      <c r="E1048433" s="4"/>
      <c r="F1048433" s="4"/>
      <c r="G1048433" s="5"/>
      <c r="H1048433" s="5"/>
      <c r="I1048433" s="5"/>
      <c r="J1048433" s="5"/>
      <c r="K1048433" s="5"/>
      <c r="L1048433" s="5"/>
      <c r="M1048433" s="5"/>
      <c r="N1048433" s="5"/>
      <c r="O1048433" s="5"/>
      <c r="P1048433" s="3"/>
      <c r="Q1048433" s="3"/>
      <c r="R1048433" s="3"/>
      <c r="S1048433" s="3"/>
      <c r="T1048433" s="3"/>
      <c r="U1048433" s="5"/>
      <c r="V1048433" s="3"/>
    </row>
    <row r="1048434" customFormat="1" spans="1:22">
      <c r="A1048434" s="5"/>
      <c r="B1048434" s="5"/>
      <c r="C1048434" s="5"/>
      <c r="D1048434" s="3"/>
      <c r="E1048434" s="4"/>
      <c r="F1048434" s="4"/>
      <c r="G1048434" s="5"/>
      <c r="H1048434" s="5"/>
      <c r="I1048434" s="5"/>
      <c r="J1048434" s="5"/>
      <c r="K1048434" s="5"/>
      <c r="L1048434" s="5"/>
      <c r="M1048434" s="5"/>
      <c r="N1048434" s="5"/>
      <c r="O1048434" s="5"/>
      <c r="P1048434" s="3"/>
      <c r="Q1048434" s="3"/>
      <c r="R1048434" s="3"/>
      <c r="S1048434" s="3"/>
      <c r="T1048434" s="3"/>
      <c r="U1048434" s="5"/>
      <c r="V1048434" s="3"/>
    </row>
    <row r="1048435" customFormat="1" spans="1:22">
      <c r="A1048435" s="5"/>
      <c r="B1048435" s="5"/>
      <c r="C1048435" s="5"/>
      <c r="D1048435" s="3"/>
      <c r="E1048435" s="4"/>
      <c r="F1048435" s="4"/>
      <c r="G1048435" s="5"/>
      <c r="H1048435" s="5"/>
      <c r="I1048435" s="5"/>
      <c r="J1048435" s="5"/>
      <c r="K1048435" s="5"/>
      <c r="L1048435" s="5"/>
      <c r="M1048435" s="5"/>
      <c r="N1048435" s="5"/>
      <c r="O1048435" s="5"/>
      <c r="P1048435" s="3"/>
      <c r="Q1048435" s="3"/>
      <c r="R1048435" s="3"/>
      <c r="S1048435" s="3"/>
      <c r="T1048435" s="3"/>
      <c r="U1048435" s="5"/>
      <c r="V1048435" s="3"/>
    </row>
    <row r="1048436" customFormat="1" spans="1:22">
      <c r="A1048436" s="5"/>
      <c r="B1048436" s="5"/>
      <c r="C1048436" s="5"/>
      <c r="D1048436" s="3"/>
      <c r="E1048436" s="4"/>
      <c r="F1048436" s="4"/>
      <c r="G1048436" s="5"/>
      <c r="H1048436" s="5"/>
      <c r="I1048436" s="5"/>
      <c r="J1048436" s="5"/>
      <c r="K1048436" s="5"/>
      <c r="L1048436" s="5"/>
      <c r="M1048436" s="5"/>
      <c r="N1048436" s="5"/>
      <c r="O1048436" s="5"/>
      <c r="P1048436" s="3"/>
      <c r="Q1048436" s="3"/>
      <c r="R1048436" s="3"/>
      <c r="S1048436" s="3"/>
      <c r="T1048436" s="3"/>
      <c r="U1048436" s="5"/>
      <c r="V1048436" s="3"/>
    </row>
    <row r="1048437" customFormat="1" spans="1:22">
      <c r="A1048437" s="5"/>
      <c r="B1048437" s="5"/>
      <c r="C1048437" s="5"/>
      <c r="D1048437" s="3"/>
      <c r="E1048437" s="4"/>
      <c r="F1048437" s="4"/>
      <c r="G1048437" s="5"/>
      <c r="H1048437" s="5"/>
      <c r="I1048437" s="5"/>
      <c r="J1048437" s="5"/>
      <c r="K1048437" s="5"/>
      <c r="L1048437" s="5"/>
      <c r="M1048437" s="5"/>
      <c r="N1048437" s="5"/>
      <c r="O1048437" s="5"/>
      <c r="P1048437" s="3"/>
      <c r="Q1048437" s="3"/>
      <c r="R1048437" s="3"/>
      <c r="S1048437" s="3"/>
      <c r="T1048437" s="3"/>
      <c r="U1048437" s="5"/>
      <c r="V1048437" s="3"/>
    </row>
    <row r="1048438" customFormat="1" spans="1:22">
      <c r="A1048438" s="5"/>
      <c r="B1048438" s="5"/>
      <c r="C1048438" s="5"/>
      <c r="D1048438" s="3"/>
      <c r="E1048438" s="4"/>
      <c r="F1048438" s="4"/>
      <c r="G1048438" s="5"/>
      <c r="H1048438" s="5"/>
      <c r="I1048438" s="5"/>
      <c r="J1048438" s="5"/>
      <c r="K1048438" s="5"/>
      <c r="L1048438" s="5"/>
      <c r="M1048438" s="5"/>
      <c r="N1048438" s="5"/>
      <c r="O1048438" s="5"/>
      <c r="P1048438" s="3"/>
      <c r="Q1048438" s="3"/>
      <c r="R1048438" s="3"/>
      <c r="S1048438" s="3"/>
      <c r="T1048438" s="3"/>
      <c r="U1048438" s="5"/>
      <c r="V1048438" s="3"/>
    </row>
    <row r="1048439" customFormat="1" spans="1:22">
      <c r="A1048439" s="5"/>
      <c r="B1048439" s="5"/>
      <c r="C1048439" s="5"/>
      <c r="D1048439" s="3"/>
      <c r="E1048439" s="4"/>
      <c r="F1048439" s="4"/>
      <c r="G1048439" s="5"/>
      <c r="H1048439" s="5"/>
      <c r="I1048439" s="5"/>
      <c r="J1048439" s="5"/>
      <c r="K1048439" s="5"/>
      <c r="L1048439" s="5"/>
      <c r="M1048439" s="5"/>
      <c r="N1048439" s="5"/>
      <c r="O1048439" s="5"/>
      <c r="P1048439" s="3"/>
      <c r="Q1048439" s="3"/>
      <c r="R1048439" s="3"/>
      <c r="S1048439" s="3"/>
      <c r="T1048439" s="3"/>
      <c r="U1048439" s="5"/>
      <c r="V1048439" s="3"/>
    </row>
    <row r="1048440" customFormat="1" spans="1:22">
      <c r="A1048440" s="5"/>
      <c r="B1048440" s="5"/>
      <c r="C1048440" s="5"/>
      <c r="D1048440" s="3"/>
      <c r="E1048440" s="4"/>
      <c r="F1048440" s="4"/>
      <c r="G1048440" s="5"/>
      <c r="H1048440" s="5"/>
      <c r="I1048440" s="5"/>
      <c r="J1048440" s="5"/>
      <c r="K1048440" s="5"/>
      <c r="L1048440" s="5"/>
      <c r="M1048440" s="5"/>
      <c r="N1048440" s="5"/>
      <c r="O1048440" s="5"/>
      <c r="P1048440" s="3"/>
      <c r="Q1048440" s="3"/>
      <c r="R1048440" s="3"/>
      <c r="S1048440" s="3"/>
      <c r="T1048440" s="3"/>
      <c r="U1048440" s="5"/>
      <c r="V1048440" s="3"/>
    </row>
    <row r="1048441" customFormat="1" spans="1:22">
      <c r="A1048441" s="5"/>
      <c r="B1048441" s="5"/>
      <c r="C1048441" s="5"/>
      <c r="D1048441" s="3"/>
      <c r="E1048441" s="4"/>
      <c r="F1048441" s="4"/>
      <c r="G1048441" s="5"/>
      <c r="H1048441" s="5"/>
      <c r="I1048441" s="5"/>
      <c r="J1048441" s="5"/>
      <c r="K1048441" s="5"/>
      <c r="L1048441" s="5"/>
      <c r="M1048441" s="5"/>
      <c r="N1048441" s="5"/>
      <c r="O1048441" s="5"/>
      <c r="P1048441" s="3"/>
      <c r="Q1048441" s="3"/>
      <c r="R1048441" s="3"/>
      <c r="S1048441" s="3"/>
      <c r="T1048441" s="3"/>
      <c r="U1048441" s="5"/>
      <c r="V1048441" s="3"/>
    </row>
    <row r="1048442" customFormat="1" spans="1:22">
      <c r="A1048442" s="5"/>
      <c r="B1048442" s="5"/>
      <c r="C1048442" s="5"/>
      <c r="D1048442" s="3"/>
      <c r="E1048442" s="4"/>
      <c r="F1048442" s="4"/>
      <c r="G1048442" s="5"/>
      <c r="H1048442" s="5"/>
      <c r="I1048442" s="5"/>
      <c r="J1048442" s="5"/>
      <c r="K1048442" s="5"/>
      <c r="L1048442" s="5"/>
      <c r="M1048442" s="5"/>
      <c r="N1048442" s="5"/>
      <c r="O1048442" s="5"/>
      <c r="P1048442" s="3"/>
      <c r="Q1048442" s="3"/>
      <c r="R1048442" s="3"/>
      <c r="S1048442" s="3"/>
      <c r="T1048442" s="3"/>
      <c r="U1048442" s="5"/>
      <c r="V1048442" s="3"/>
    </row>
    <row r="1048443" customFormat="1" spans="1:22">
      <c r="A1048443" s="5"/>
      <c r="B1048443" s="5"/>
      <c r="C1048443" s="5"/>
      <c r="D1048443" s="3"/>
      <c r="E1048443" s="4"/>
      <c r="F1048443" s="4"/>
      <c r="G1048443" s="5"/>
      <c r="H1048443" s="5"/>
      <c r="I1048443" s="5"/>
      <c r="J1048443" s="5"/>
      <c r="K1048443" s="5"/>
      <c r="L1048443" s="5"/>
      <c r="M1048443" s="5"/>
      <c r="N1048443" s="5"/>
      <c r="O1048443" s="5"/>
      <c r="P1048443" s="3"/>
      <c r="Q1048443" s="3"/>
      <c r="R1048443" s="3"/>
      <c r="S1048443" s="3"/>
      <c r="T1048443" s="3"/>
      <c r="U1048443" s="5"/>
      <c r="V1048443" s="3"/>
    </row>
    <row r="1048444" customFormat="1" spans="1:22">
      <c r="A1048444" s="5"/>
      <c r="B1048444" s="5"/>
      <c r="C1048444" s="5"/>
      <c r="D1048444" s="3"/>
      <c r="E1048444" s="4"/>
      <c r="F1048444" s="4"/>
      <c r="G1048444" s="5"/>
      <c r="H1048444" s="5"/>
      <c r="I1048444" s="5"/>
      <c r="J1048444" s="5"/>
      <c r="K1048444" s="5"/>
      <c r="L1048444" s="5"/>
      <c r="M1048444" s="5"/>
      <c r="N1048444" s="5"/>
      <c r="O1048444" s="5"/>
      <c r="P1048444" s="3"/>
      <c r="Q1048444" s="3"/>
      <c r="R1048444" s="3"/>
      <c r="S1048444" s="3"/>
      <c r="T1048444" s="3"/>
      <c r="U1048444" s="5"/>
      <c r="V1048444" s="3"/>
    </row>
    <row r="1048445" customFormat="1" spans="1:22">
      <c r="A1048445" s="5"/>
      <c r="B1048445" s="5"/>
      <c r="C1048445" s="5"/>
      <c r="D1048445" s="3"/>
      <c r="E1048445" s="4"/>
      <c r="F1048445" s="4"/>
      <c r="G1048445" s="5"/>
      <c r="H1048445" s="5"/>
      <c r="I1048445" s="5"/>
      <c r="J1048445" s="5"/>
      <c r="K1048445" s="5"/>
      <c r="L1048445" s="5"/>
      <c r="M1048445" s="5"/>
      <c r="N1048445" s="5"/>
      <c r="O1048445" s="5"/>
      <c r="P1048445" s="3"/>
      <c r="Q1048445" s="3"/>
      <c r="R1048445" s="3"/>
      <c r="S1048445" s="3"/>
      <c r="T1048445" s="3"/>
      <c r="U1048445" s="5"/>
      <c r="V1048445" s="3"/>
    </row>
    <row r="1048446" customFormat="1" spans="1:22">
      <c r="A1048446" s="5"/>
      <c r="B1048446" s="5"/>
      <c r="C1048446" s="5"/>
      <c r="D1048446" s="3"/>
      <c r="E1048446" s="4"/>
      <c r="F1048446" s="4"/>
      <c r="G1048446" s="5"/>
      <c r="H1048446" s="5"/>
      <c r="I1048446" s="5"/>
      <c r="J1048446" s="5"/>
      <c r="K1048446" s="5"/>
      <c r="L1048446" s="5"/>
      <c r="M1048446" s="5"/>
      <c r="N1048446" s="5"/>
      <c r="O1048446" s="5"/>
      <c r="P1048446" s="3"/>
      <c r="Q1048446" s="3"/>
      <c r="R1048446" s="3"/>
      <c r="S1048446" s="3"/>
      <c r="T1048446" s="3"/>
      <c r="U1048446" s="5"/>
      <c r="V1048446" s="3"/>
    </row>
    <row r="1048447" customFormat="1" spans="1:22">
      <c r="A1048447" s="5"/>
      <c r="B1048447" s="5"/>
      <c r="C1048447" s="5"/>
      <c r="D1048447" s="3"/>
      <c r="E1048447" s="4"/>
      <c r="F1048447" s="4"/>
      <c r="G1048447" s="5"/>
      <c r="H1048447" s="5"/>
      <c r="I1048447" s="5"/>
      <c r="J1048447" s="5"/>
      <c r="K1048447" s="5"/>
      <c r="L1048447" s="5"/>
      <c r="M1048447" s="5"/>
      <c r="N1048447" s="5"/>
      <c r="O1048447" s="5"/>
      <c r="P1048447" s="3"/>
      <c r="Q1048447" s="3"/>
      <c r="R1048447" s="3"/>
      <c r="S1048447" s="3"/>
      <c r="T1048447" s="3"/>
      <c r="U1048447" s="5"/>
      <c r="V1048447" s="3"/>
    </row>
    <row r="1048448" customFormat="1" spans="1:22">
      <c r="A1048448" s="5"/>
      <c r="B1048448" s="5"/>
      <c r="C1048448" s="5"/>
      <c r="D1048448" s="3"/>
      <c r="E1048448" s="4"/>
      <c r="F1048448" s="4"/>
      <c r="G1048448" s="5"/>
      <c r="H1048448" s="5"/>
      <c r="I1048448" s="5"/>
      <c r="J1048448" s="5"/>
      <c r="K1048448" s="5"/>
      <c r="L1048448" s="5"/>
      <c r="M1048448" s="5"/>
      <c r="N1048448" s="5"/>
      <c r="O1048448" s="5"/>
      <c r="P1048448" s="3"/>
      <c r="Q1048448" s="3"/>
      <c r="R1048448" s="3"/>
      <c r="S1048448" s="3"/>
      <c r="T1048448" s="3"/>
      <c r="U1048448" s="5"/>
      <c r="V1048448" s="3"/>
    </row>
    <row r="1048449" customFormat="1" spans="1:22">
      <c r="A1048449" s="5"/>
      <c r="B1048449" s="5"/>
      <c r="C1048449" s="5"/>
      <c r="D1048449" s="3"/>
      <c r="E1048449" s="4"/>
      <c r="F1048449" s="4"/>
      <c r="G1048449" s="5"/>
      <c r="H1048449" s="5"/>
      <c r="I1048449" s="5"/>
      <c r="J1048449" s="5"/>
      <c r="K1048449" s="5"/>
      <c r="L1048449" s="5"/>
      <c r="M1048449" s="5"/>
      <c r="N1048449" s="5"/>
      <c r="O1048449" s="5"/>
      <c r="P1048449" s="3"/>
      <c r="Q1048449" s="3"/>
      <c r="R1048449" s="3"/>
      <c r="S1048449" s="3"/>
      <c r="T1048449" s="3"/>
      <c r="U1048449" s="5"/>
      <c r="V1048449" s="3"/>
    </row>
    <row r="1048450" customFormat="1" spans="1:22">
      <c r="A1048450" s="5"/>
      <c r="B1048450" s="5"/>
      <c r="C1048450" s="5"/>
      <c r="D1048450" s="3"/>
      <c r="E1048450" s="4"/>
      <c r="F1048450" s="4"/>
      <c r="G1048450" s="5"/>
      <c r="H1048450" s="5"/>
      <c r="I1048450" s="5"/>
      <c r="J1048450" s="5"/>
      <c r="K1048450" s="5"/>
      <c r="L1048450" s="5"/>
      <c r="M1048450" s="5"/>
      <c r="N1048450" s="5"/>
      <c r="O1048450" s="5"/>
      <c r="P1048450" s="3"/>
      <c r="Q1048450" s="3"/>
      <c r="R1048450" s="3"/>
      <c r="S1048450" s="3"/>
      <c r="T1048450" s="3"/>
      <c r="U1048450" s="5"/>
      <c r="V1048450" s="3"/>
    </row>
    <row r="1048451" customFormat="1" spans="1:22">
      <c r="A1048451" s="5"/>
      <c r="B1048451" s="5"/>
      <c r="C1048451" s="5"/>
      <c r="D1048451" s="3"/>
      <c r="E1048451" s="4"/>
      <c r="F1048451" s="4"/>
      <c r="G1048451" s="5"/>
      <c r="H1048451" s="5"/>
      <c r="I1048451" s="5"/>
      <c r="J1048451" s="5"/>
      <c r="K1048451" s="5"/>
      <c r="L1048451" s="5"/>
      <c r="M1048451" s="5"/>
      <c r="N1048451" s="5"/>
      <c r="O1048451" s="5"/>
      <c r="P1048451" s="3"/>
      <c r="Q1048451" s="3"/>
      <c r="R1048451" s="3"/>
      <c r="S1048451" s="3"/>
      <c r="T1048451" s="3"/>
      <c r="U1048451" s="5"/>
      <c r="V1048451" s="3"/>
    </row>
    <row r="1048452" customFormat="1" spans="1:22">
      <c r="A1048452" s="5"/>
      <c r="B1048452" s="5"/>
      <c r="C1048452" s="5"/>
      <c r="D1048452" s="3"/>
      <c r="E1048452" s="4"/>
      <c r="F1048452" s="4"/>
      <c r="G1048452" s="5"/>
      <c r="H1048452" s="5"/>
      <c r="I1048452" s="5"/>
      <c r="J1048452" s="5"/>
      <c r="K1048452" s="5"/>
      <c r="L1048452" s="5"/>
      <c r="M1048452" s="5"/>
      <c r="N1048452" s="5"/>
      <c r="O1048452" s="5"/>
      <c r="P1048452" s="3"/>
      <c r="Q1048452" s="3"/>
      <c r="R1048452" s="3"/>
      <c r="S1048452" s="3"/>
      <c r="T1048452" s="3"/>
      <c r="U1048452" s="5"/>
      <c r="V1048452" s="3"/>
    </row>
    <row r="1048453" customFormat="1" spans="1:22">
      <c r="A1048453" s="5"/>
      <c r="B1048453" s="5"/>
      <c r="C1048453" s="5"/>
      <c r="D1048453" s="3"/>
      <c r="E1048453" s="4"/>
      <c r="F1048453" s="4"/>
      <c r="G1048453" s="5"/>
      <c r="H1048453" s="5"/>
      <c r="I1048453" s="5"/>
      <c r="J1048453" s="5"/>
      <c r="K1048453" s="5"/>
      <c r="L1048453" s="5"/>
      <c r="M1048453" s="5"/>
      <c r="N1048453" s="5"/>
      <c r="O1048453" s="5"/>
      <c r="P1048453" s="3"/>
      <c r="Q1048453" s="3"/>
      <c r="R1048453" s="3"/>
      <c r="S1048453" s="3"/>
      <c r="T1048453" s="3"/>
      <c r="U1048453" s="5"/>
      <c r="V1048453" s="3"/>
    </row>
    <row r="1048454" customFormat="1" spans="1:22">
      <c r="A1048454" s="5"/>
      <c r="B1048454" s="5"/>
      <c r="C1048454" s="5"/>
      <c r="D1048454" s="3"/>
      <c r="E1048454" s="4"/>
      <c r="F1048454" s="4"/>
      <c r="G1048454" s="5"/>
      <c r="H1048454" s="5"/>
      <c r="I1048454" s="5"/>
      <c r="J1048454" s="5"/>
      <c r="K1048454" s="5"/>
      <c r="L1048454" s="5"/>
      <c r="M1048454" s="5"/>
      <c r="N1048454" s="5"/>
      <c r="O1048454" s="5"/>
      <c r="P1048454" s="3"/>
      <c r="Q1048454" s="3"/>
      <c r="R1048454" s="3"/>
      <c r="S1048454" s="3"/>
      <c r="T1048454" s="3"/>
      <c r="U1048454" s="5"/>
      <c r="V1048454" s="3"/>
    </row>
    <row r="1048455" customFormat="1" spans="1:22">
      <c r="A1048455" s="5"/>
      <c r="B1048455" s="5"/>
      <c r="C1048455" s="5"/>
      <c r="D1048455" s="3"/>
      <c r="E1048455" s="4"/>
      <c r="F1048455" s="4"/>
      <c r="G1048455" s="5"/>
      <c r="H1048455" s="5"/>
      <c r="I1048455" s="5"/>
      <c r="J1048455" s="5"/>
      <c r="K1048455" s="5"/>
      <c r="L1048455" s="5"/>
      <c r="M1048455" s="5"/>
      <c r="N1048455" s="5"/>
      <c r="O1048455" s="5"/>
      <c r="P1048455" s="3"/>
      <c r="Q1048455" s="3"/>
      <c r="R1048455" s="3"/>
      <c r="S1048455" s="3"/>
      <c r="T1048455" s="3"/>
      <c r="U1048455" s="5"/>
      <c r="V1048455" s="3"/>
    </row>
    <row r="1048456" customFormat="1" spans="1:22">
      <c r="A1048456" s="5"/>
      <c r="B1048456" s="5"/>
      <c r="C1048456" s="5"/>
      <c r="D1048456" s="3"/>
      <c r="E1048456" s="4"/>
      <c r="F1048456" s="4"/>
      <c r="G1048456" s="5"/>
      <c r="H1048456" s="5"/>
      <c r="I1048456" s="5"/>
      <c r="J1048456" s="5"/>
      <c r="K1048456" s="5"/>
      <c r="L1048456" s="5"/>
      <c r="M1048456" s="5"/>
      <c r="N1048456" s="5"/>
      <c r="O1048456" s="5"/>
      <c r="P1048456" s="3"/>
      <c r="Q1048456" s="3"/>
      <c r="R1048456" s="3"/>
      <c r="S1048456" s="3"/>
      <c r="T1048456" s="3"/>
      <c r="U1048456" s="5"/>
      <c r="V1048456" s="3"/>
    </row>
    <row r="1048457" customFormat="1" spans="1:22">
      <c r="A1048457" s="5"/>
      <c r="B1048457" s="5"/>
      <c r="C1048457" s="5"/>
      <c r="D1048457" s="3"/>
      <c r="E1048457" s="4"/>
      <c r="F1048457" s="4"/>
      <c r="G1048457" s="5"/>
      <c r="H1048457" s="5"/>
      <c r="I1048457" s="5"/>
      <c r="J1048457" s="5"/>
      <c r="K1048457" s="5"/>
      <c r="L1048457" s="5"/>
      <c r="M1048457" s="5"/>
      <c r="N1048457" s="5"/>
      <c r="O1048457" s="5"/>
      <c r="P1048457" s="3"/>
      <c r="Q1048457" s="3"/>
      <c r="R1048457" s="3"/>
      <c r="S1048457" s="3"/>
      <c r="T1048457" s="3"/>
      <c r="U1048457" s="5"/>
      <c r="V1048457" s="3"/>
    </row>
    <row r="1048458" customFormat="1" spans="1:22">
      <c r="A1048458" s="5"/>
      <c r="B1048458" s="5"/>
      <c r="C1048458" s="5"/>
      <c r="D1048458" s="3"/>
      <c r="E1048458" s="4"/>
      <c r="F1048458" s="4"/>
      <c r="G1048458" s="5"/>
      <c r="H1048458" s="5"/>
      <c r="I1048458" s="5"/>
      <c r="J1048458" s="5"/>
      <c r="K1048458" s="5"/>
      <c r="L1048458" s="5"/>
      <c r="M1048458" s="5"/>
      <c r="N1048458" s="5"/>
      <c r="O1048458" s="5"/>
      <c r="P1048458" s="3"/>
      <c r="Q1048458" s="3"/>
      <c r="R1048458" s="3"/>
      <c r="S1048458" s="3"/>
      <c r="T1048458" s="3"/>
      <c r="U1048458" s="5"/>
      <c r="V1048458" s="3"/>
    </row>
    <row r="1048459" customFormat="1" spans="1:22">
      <c r="A1048459" s="5"/>
      <c r="B1048459" s="5"/>
      <c r="C1048459" s="5"/>
      <c r="D1048459" s="3"/>
      <c r="E1048459" s="4"/>
      <c r="F1048459" s="4"/>
      <c r="G1048459" s="5"/>
      <c r="H1048459" s="5"/>
      <c r="I1048459" s="5"/>
      <c r="J1048459" s="5"/>
      <c r="K1048459" s="5"/>
      <c r="L1048459" s="5"/>
      <c r="M1048459" s="5"/>
      <c r="N1048459" s="5"/>
      <c r="O1048459" s="5"/>
      <c r="P1048459" s="3"/>
      <c r="Q1048459" s="3"/>
      <c r="R1048459" s="3"/>
      <c r="S1048459" s="3"/>
      <c r="T1048459" s="3"/>
      <c r="U1048459" s="5"/>
      <c r="V1048459" s="3"/>
    </row>
    <row r="1048460" customFormat="1" spans="1:22">
      <c r="A1048460" s="5"/>
      <c r="B1048460" s="5"/>
      <c r="C1048460" s="5"/>
      <c r="D1048460" s="3"/>
      <c r="E1048460" s="4"/>
      <c r="F1048460" s="4"/>
      <c r="G1048460" s="5"/>
      <c r="H1048460" s="5"/>
      <c r="I1048460" s="5"/>
      <c r="J1048460" s="5"/>
      <c r="K1048460" s="5"/>
      <c r="L1048460" s="5"/>
      <c r="M1048460" s="5"/>
      <c r="N1048460" s="5"/>
      <c r="O1048460" s="5"/>
      <c r="P1048460" s="3"/>
      <c r="Q1048460" s="3"/>
      <c r="R1048460" s="3"/>
      <c r="S1048460" s="3"/>
      <c r="T1048460" s="3"/>
      <c r="U1048460" s="5"/>
      <c r="V1048460" s="3"/>
    </row>
    <row r="1048461" customFormat="1" spans="1:22">
      <c r="A1048461" s="5"/>
      <c r="B1048461" s="5"/>
      <c r="C1048461" s="5"/>
      <c r="D1048461" s="3"/>
      <c r="E1048461" s="4"/>
      <c r="F1048461" s="4"/>
      <c r="G1048461" s="5"/>
      <c r="H1048461" s="5"/>
      <c r="I1048461" s="5"/>
      <c r="J1048461" s="5"/>
      <c r="K1048461" s="5"/>
      <c r="L1048461" s="5"/>
      <c r="M1048461" s="5"/>
      <c r="N1048461" s="5"/>
      <c r="O1048461" s="5"/>
      <c r="P1048461" s="3"/>
      <c r="Q1048461" s="3"/>
      <c r="R1048461" s="3"/>
      <c r="S1048461" s="3"/>
      <c r="T1048461" s="3"/>
      <c r="U1048461" s="5"/>
      <c r="V1048461" s="3"/>
    </row>
    <row r="1048462" customFormat="1" spans="1:22">
      <c r="A1048462" s="5"/>
      <c r="B1048462" s="5"/>
      <c r="C1048462" s="5"/>
      <c r="D1048462" s="3"/>
      <c r="E1048462" s="4"/>
      <c r="F1048462" s="4"/>
      <c r="G1048462" s="5"/>
      <c r="H1048462" s="5"/>
      <c r="I1048462" s="5"/>
      <c r="J1048462" s="5"/>
      <c r="K1048462" s="5"/>
      <c r="L1048462" s="5"/>
      <c r="M1048462" s="5"/>
      <c r="N1048462" s="5"/>
      <c r="O1048462" s="5"/>
      <c r="P1048462" s="3"/>
      <c r="Q1048462" s="3"/>
      <c r="R1048462" s="3"/>
      <c r="S1048462" s="3"/>
      <c r="T1048462" s="3"/>
      <c r="U1048462" s="5"/>
      <c r="V1048462" s="3"/>
    </row>
    <row r="1048463" customFormat="1" spans="1:22">
      <c r="A1048463" s="5"/>
      <c r="B1048463" s="5"/>
      <c r="C1048463" s="5"/>
      <c r="D1048463" s="3"/>
      <c r="E1048463" s="4"/>
      <c r="F1048463" s="4"/>
      <c r="G1048463" s="5"/>
      <c r="H1048463" s="5"/>
      <c r="I1048463" s="5"/>
      <c r="J1048463" s="5"/>
      <c r="K1048463" s="5"/>
      <c r="L1048463" s="5"/>
      <c r="M1048463" s="5"/>
      <c r="N1048463" s="5"/>
      <c r="O1048463" s="5"/>
      <c r="P1048463" s="3"/>
      <c r="Q1048463" s="3"/>
      <c r="R1048463" s="3"/>
      <c r="S1048463" s="3"/>
      <c r="T1048463" s="3"/>
      <c r="U1048463" s="5"/>
      <c r="V1048463" s="3"/>
    </row>
    <row r="1048464" customFormat="1" spans="1:22">
      <c r="A1048464" s="5"/>
      <c r="B1048464" s="5"/>
      <c r="C1048464" s="5"/>
      <c r="D1048464" s="3"/>
      <c r="E1048464" s="4"/>
      <c r="F1048464" s="4"/>
      <c r="G1048464" s="5"/>
      <c r="H1048464" s="5"/>
      <c r="I1048464" s="5"/>
      <c r="J1048464" s="5"/>
      <c r="K1048464" s="5"/>
      <c r="L1048464" s="5"/>
      <c r="M1048464" s="5"/>
      <c r="N1048464" s="5"/>
      <c r="O1048464" s="5"/>
      <c r="P1048464" s="3"/>
      <c r="Q1048464" s="3"/>
      <c r="R1048464" s="3"/>
      <c r="S1048464" s="3"/>
      <c r="T1048464" s="3"/>
      <c r="U1048464" s="5"/>
      <c r="V1048464" s="3"/>
    </row>
    <row r="1048465" customFormat="1" spans="1:22">
      <c r="A1048465" s="5"/>
      <c r="B1048465" s="5"/>
      <c r="C1048465" s="5"/>
      <c r="D1048465" s="3"/>
      <c r="E1048465" s="4"/>
      <c r="F1048465" s="4"/>
      <c r="G1048465" s="5"/>
      <c r="H1048465" s="5"/>
      <c r="I1048465" s="5"/>
      <c r="J1048465" s="5"/>
      <c r="K1048465" s="5"/>
      <c r="L1048465" s="5"/>
      <c r="M1048465" s="5"/>
      <c r="N1048465" s="5"/>
      <c r="O1048465" s="5"/>
      <c r="P1048465" s="3"/>
      <c r="Q1048465" s="3"/>
      <c r="R1048465" s="3"/>
      <c r="S1048465" s="3"/>
      <c r="T1048465" s="3"/>
      <c r="U1048465" s="5"/>
      <c r="V1048465" s="3"/>
    </row>
    <row r="1048466" customFormat="1" spans="1:22">
      <c r="A1048466" s="5"/>
      <c r="B1048466" s="5"/>
      <c r="C1048466" s="5"/>
      <c r="D1048466" s="3"/>
      <c r="E1048466" s="4"/>
      <c r="F1048466" s="4"/>
      <c r="G1048466" s="5"/>
      <c r="H1048466" s="5"/>
      <c r="I1048466" s="5"/>
      <c r="J1048466" s="5"/>
      <c r="K1048466" s="5"/>
      <c r="L1048466" s="5"/>
      <c r="M1048466" s="5"/>
      <c r="N1048466" s="5"/>
      <c r="O1048466" s="5"/>
      <c r="P1048466" s="3"/>
      <c r="Q1048466" s="3"/>
      <c r="R1048466" s="3"/>
      <c r="S1048466" s="3"/>
      <c r="T1048466" s="3"/>
      <c r="U1048466" s="5"/>
      <c r="V1048466" s="3"/>
    </row>
    <row r="1048467" customFormat="1" spans="1:22">
      <c r="A1048467" s="5"/>
      <c r="B1048467" s="5"/>
      <c r="C1048467" s="5"/>
      <c r="D1048467" s="3"/>
      <c r="E1048467" s="4"/>
      <c r="F1048467" s="4"/>
      <c r="G1048467" s="5"/>
      <c r="H1048467" s="5"/>
      <c r="I1048467" s="5"/>
      <c r="J1048467" s="5"/>
      <c r="K1048467" s="5"/>
      <c r="L1048467" s="5"/>
      <c r="M1048467" s="5"/>
      <c r="N1048467" s="5"/>
      <c r="O1048467" s="5"/>
      <c r="P1048467" s="3"/>
      <c r="Q1048467" s="3"/>
      <c r="R1048467" s="3"/>
      <c r="S1048467" s="3"/>
      <c r="T1048467" s="3"/>
      <c r="U1048467" s="5"/>
      <c r="V1048467" s="3"/>
    </row>
    <row r="1048468" customFormat="1" spans="1:22">
      <c r="A1048468" s="5"/>
      <c r="B1048468" s="5"/>
      <c r="C1048468" s="5"/>
      <c r="D1048468" s="3"/>
      <c r="E1048468" s="4"/>
      <c r="F1048468" s="4"/>
      <c r="G1048468" s="5"/>
      <c r="H1048468" s="5"/>
      <c r="I1048468" s="5"/>
      <c r="J1048468" s="5"/>
      <c r="K1048468" s="5"/>
      <c r="L1048468" s="5"/>
      <c r="M1048468" s="5"/>
      <c r="N1048468" s="5"/>
      <c r="O1048468" s="5"/>
      <c r="P1048468" s="3"/>
      <c r="Q1048468" s="3"/>
      <c r="R1048468" s="3"/>
      <c r="S1048468" s="3"/>
      <c r="T1048468" s="3"/>
      <c r="U1048468" s="5"/>
      <c r="V1048468" s="3"/>
    </row>
    <row r="1048469" customFormat="1" spans="1:22">
      <c r="A1048469" s="5"/>
      <c r="B1048469" s="5"/>
      <c r="C1048469" s="5"/>
      <c r="D1048469" s="3"/>
      <c r="E1048469" s="4"/>
      <c r="F1048469" s="4"/>
      <c r="G1048469" s="5"/>
      <c r="H1048469" s="5"/>
      <c r="I1048469" s="5"/>
      <c r="J1048469" s="5"/>
      <c r="K1048469" s="5"/>
      <c r="L1048469" s="5"/>
      <c r="M1048469" s="5"/>
      <c r="N1048469" s="5"/>
      <c r="O1048469" s="5"/>
      <c r="P1048469" s="3"/>
      <c r="Q1048469" s="3"/>
      <c r="R1048469" s="3"/>
      <c r="S1048469" s="3"/>
      <c r="T1048469" s="3"/>
      <c r="U1048469" s="5"/>
      <c r="V1048469" s="3"/>
    </row>
    <row r="1048470" customFormat="1" spans="1:22">
      <c r="A1048470" s="5"/>
      <c r="B1048470" s="5"/>
      <c r="C1048470" s="5"/>
      <c r="D1048470" s="3"/>
      <c r="E1048470" s="4"/>
      <c r="F1048470" s="4"/>
      <c r="G1048470" s="5"/>
      <c r="H1048470" s="5"/>
      <c r="I1048470" s="5"/>
      <c r="J1048470" s="5"/>
      <c r="K1048470" s="5"/>
      <c r="L1048470" s="5"/>
      <c r="M1048470" s="5"/>
      <c r="N1048470" s="5"/>
      <c r="O1048470" s="5"/>
      <c r="P1048470" s="3"/>
      <c r="Q1048470" s="3"/>
      <c r="R1048470" s="3"/>
      <c r="S1048470" s="3"/>
      <c r="T1048470" s="3"/>
      <c r="U1048470" s="5"/>
      <c r="V1048470" s="3"/>
    </row>
    <row r="1048471" customFormat="1" spans="1:22">
      <c r="A1048471" s="5"/>
      <c r="B1048471" s="5"/>
      <c r="C1048471" s="5"/>
      <c r="D1048471" s="3"/>
      <c r="E1048471" s="4"/>
      <c r="F1048471" s="4"/>
      <c r="G1048471" s="5"/>
      <c r="H1048471" s="5"/>
      <c r="I1048471" s="5"/>
      <c r="J1048471" s="5"/>
      <c r="K1048471" s="5"/>
      <c r="L1048471" s="5"/>
      <c r="M1048471" s="5"/>
      <c r="N1048471" s="5"/>
      <c r="O1048471" s="5"/>
      <c r="P1048471" s="3"/>
      <c r="Q1048471" s="3"/>
      <c r="R1048471" s="3"/>
      <c r="S1048471" s="3"/>
      <c r="T1048471" s="3"/>
      <c r="U1048471" s="5"/>
      <c r="V1048471" s="3"/>
    </row>
    <row r="1048472" customFormat="1" spans="1:22">
      <c r="A1048472" s="5"/>
      <c r="B1048472" s="5"/>
      <c r="C1048472" s="5"/>
      <c r="D1048472" s="3"/>
      <c r="E1048472" s="4"/>
      <c r="F1048472" s="4"/>
      <c r="G1048472" s="5"/>
      <c r="H1048472" s="5"/>
      <c r="I1048472" s="5"/>
      <c r="J1048472" s="5"/>
      <c r="K1048472" s="5"/>
      <c r="L1048472" s="5"/>
      <c r="M1048472" s="5"/>
      <c r="N1048472" s="5"/>
      <c r="O1048472" s="5"/>
      <c r="P1048472" s="3"/>
      <c r="Q1048472" s="3"/>
      <c r="R1048472" s="3"/>
      <c r="S1048472" s="3"/>
      <c r="T1048472" s="3"/>
      <c r="U1048472" s="5"/>
      <c r="V1048472" s="3"/>
    </row>
    <row r="1048473" customFormat="1" spans="1:22">
      <c r="A1048473" s="5"/>
      <c r="B1048473" s="5"/>
      <c r="C1048473" s="5"/>
      <c r="D1048473" s="3"/>
      <c r="E1048473" s="4"/>
      <c r="F1048473" s="4"/>
      <c r="G1048473" s="5"/>
      <c r="H1048473" s="5"/>
      <c r="I1048473" s="5"/>
      <c r="J1048473" s="5"/>
      <c r="K1048473" s="5"/>
      <c r="L1048473" s="5"/>
      <c r="M1048473" s="5"/>
      <c r="N1048473" s="5"/>
      <c r="O1048473" s="5"/>
      <c r="P1048473" s="3"/>
      <c r="Q1048473" s="3"/>
      <c r="R1048473" s="3"/>
      <c r="S1048473" s="3"/>
      <c r="T1048473" s="3"/>
      <c r="U1048473" s="5"/>
      <c r="V1048473" s="3"/>
    </row>
    <row r="1048474" customFormat="1" spans="1:22">
      <c r="A1048474" s="5"/>
      <c r="B1048474" s="5"/>
      <c r="C1048474" s="5"/>
      <c r="D1048474" s="3"/>
      <c r="E1048474" s="4"/>
      <c r="F1048474" s="4"/>
      <c r="G1048474" s="5"/>
      <c r="H1048474" s="5"/>
      <c r="I1048474" s="5"/>
      <c r="J1048474" s="5"/>
      <c r="K1048474" s="5"/>
      <c r="L1048474" s="5"/>
      <c r="M1048474" s="5"/>
      <c r="N1048474" s="5"/>
      <c r="O1048474" s="5"/>
      <c r="P1048474" s="3"/>
      <c r="Q1048474" s="3"/>
      <c r="R1048474" s="3"/>
      <c r="S1048474" s="3"/>
      <c r="T1048474" s="3"/>
      <c r="U1048474" s="5"/>
      <c r="V1048474" s="3"/>
    </row>
    <row r="1048475" customFormat="1" spans="1:22">
      <c r="A1048475" s="5"/>
      <c r="B1048475" s="5"/>
      <c r="C1048475" s="5"/>
      <c r="D1048475" s="3"/>
      <c r="E1048475" s="4"/>
      <c r="F1048475" s="4"/>
      <c r="G1048475" s="5"/>
      <c r="H1048475" s="5"/>
      <c r="I1048475" s="5"/>
      <c r="J1048475" s="5"/>
      <c r="K1048475" s="5"/>
      <c r="L1048475" s="5"/>
      <c r="M1048475" s="5"/>
      <c r="N1048475" s="5"/>
      <c r="O1048475" s="5"/>
      <c r="P1048475" s="3"/>
      <c r="Q1048475" s="3"/>
      <c r="R1048475" s="3"/>
      <c r="S1048475" s="3"/>
      <c r="T1048475" s="3"/>
      <c r="U1048475" s="5"/>
      <c r="V1048475" s="3"/>
    </row>
    <row r="1048476" customFormat="1" spans="1:22">
      <c r="A1048476" s="5"/>
      <c r="B1048476" s="5"/>
      <c r="C1048476" s="5"/>
      <c r="D1048476" s="3"/>
      <c r="E1048476" s="4"/>
      <c r="F1048476" s="4"/>
      <c r="G1048476" s="5"/>
      <c r="H1048476" s="5"/>
      <c r="I1048476" s="5"/>
      <c r="J1048476" s="5"/>
      <c r="K1048476" s="5"/>
      <c r="L1048476" s="5"/>
      <c r="M1048476" s="5"/>
      <c r="N1048476" s="5"/>
      <c r="O1048476" s="5"/>
      <c r="P1048476" s="3"/>
      <c r="Q1048476" s="3"/>
      <c r="R1048476" s="3"/>
      <c r="S1048476" s="3"/>
      <c r="T1048476" s="3"/>
      <c r="U1048476" s="5"/>
      <c r="V1048476" s="3"/>
    </row>
    <row r="1048477" customFormat="1" spans="1:22">
      <c r="A1048477" s="5"/>
      <c r="B1048477" s="5"/>
      <c r="C1048477" s="5"/>
      <c r="D1048477" s="3"/>
      <c r="E1048477" s="4"/>
      <c r="F1048477" s="4"/>
      <c r="G1048477" s="5"/>
      <c r="H1048477" s="5"/>
      <c r="I1048477" s="5"/>
      <c r="J1048477" s="5"/>
      <c r="K1048477" s="5"/>
      <c r="L1048477" s="5"/>
      <c r="M1048477" s="5"/>
      <c r="N1048477" s="5"/>
      <c r="O1048477" s="5"/>
      <c r="P1048477" s="3"/>
      <c r="Q1048477" s="3"/>
      <c r="R1048477" s="3"/>
      <c r="S1048477" s="3"/>
      <c r="T1048477" s="3"/>
      <c r="U1048477" s="5"/>
      <c r="V1048477" s="3"/>
    </row>
    <row r="1048478" customFormat="1" spans="1:22">
      <c r="A1048478" s="5"/>
      <c r="B1048478" s="5"/>
      <c r="C1048478" s="5"/>
      <c r="D1048478" s="3"/>
      <c r="E1048478" s="4"/>
      <c r="F1048478" s="4"/>
      <c r="G1048478" s="5"/>
      <c r="H1048478" s="5"/>
      <c r="I1048478" s="5"/>
      <c r="J1048478" s="5"/>
      <c r="K1048478" s="5"/>
      <c r="L1048478" s="5"/>
      <c r="M1048478" s="5"/>
      <c r="N1048478" s="5"/>
      <c r="O1048478" s="5"/>
      <c r="P1048478" s="3"/>
      <c r="Q1048478" s="3"/>
      <c r="R1048478" s="3"/>
      <c r="S1048478" s="3"/>
      <c r="T1048478" s="3"/>
      <c r="U1048478" s="5"/>
      <c r="V1048478" s="3"/>
    </row>
    <row r="1048479" customFormat="1" spans="1:22">
      <c r="A1048479" s="5"/>
      <c r="B1048479" s="5"/>
      <c r="C1048479" s="5"/>
      <c r="D1048479" s="3"/>
      <c r="E1048479" s="4"/>
      <c r="F1048479" s="4"/>
      <c r="G1048479" s="5"/>
      <c r="H1048479" s="5"/>
      <c r="I1048479" s="5"/>
      <c r="J1048479" s="5"/>
      <c r="K1048479" s="5"/>
      <c r="L1048479" s="5"/>
      <c r="M1048479" s="5"/>
      <c r="N1048479" s="5"/>
      <c r="O1048479" s="5"/>
      <c r="P1048479" s="3"/>
      <c r="Q1048479" s="3"/>
      <c r="R1048479" s="3"/>
      <c r="S1048479" s="3"/>
      <c r="T1048479" s="3"/>
      <c r="U1048479" s="5"/>
      <c r="V1048479" s="3"/>
    </row>
    <row r="1048480" customFormat="1" spans="1:22">
      <c r="A1048480" s="5"/>
      <c r="B1048480" s="5"/>
      <c r="C1048480" s="5"/>
      <c r="D1048480" s="3"/>
      <c r="E1048480" s="4"/>
      <c r="F1048480" s="4"/>
      <c r="G1048480" s="5"/>
      <c r="H1048480" s="5"/>
      <c r="I1048480" s="5"/>
      <c r="J1048480" s="5"/>
      <c r="K1048480" s="5"/>
      <c r="L1048480" s="5"/>
      <c r="M1048480" s="5"/>
      <c r="N1048480" s="5"/>
      <c r="O1048480" s="5"/>
      <c r="P1048480" s="3"/>
      <c r="Q1048480" s="3"/>
      <c r="R1048480" s="3"/>
      <c r="S1048480" s="3"/>
      <c r="T1048480" s="3"/>
      <c r="U1048480" s="5"/>
      <c r="V1048480" s="3"/>
    </row>
    <row r="1048481" customFormat="1" spans="1:22">
      <c r="A1048481" s="5"/>
      <c r="B1048481" s="5"/>
      <c r="C1048481" s="5"/>
      <c r="D1048481" s="3"/>
      <c r="E1048481" s="4"/>
      <c r="F1048481" s="4"/>
      <c r="G1048481" s="5"/>
      <c r="H1048481" s="5"/>
      <c r="I1048481" s="5"/>
      <c r="J1048481" s="5"/>
      <c r="K1048481" s="5"/>
      <c r="L1048481" s="5"/>
      <c r="M1048481" s="5"/>
      <c r="N1048481" s="5"/>
      <c r="O1048481" s="5"/>
      <c r="P1048481" s="3"/>
      <c r="Q1048481" s="3"/>
      <c r="R1048481" s="3"/>
      <c r="S1048481" s="3"/>
      <c r="T1048481" s="3"/>
      <c r="U1048481" s="5"/>
      <c r="V1048481" s="3"/>
    </row>
    <row r="1048482" customFormat="1" spans="1:22">
      <c r="A1048482" s="5"/>
      <c r="B1048482" s="5"/>
      <c r="C1048482" s="5"/>
      <c r="D1048482" s="3"/>
      <c r="E1048482" s="4"/>
      <c r="F1048482" s="4"/>
      <c r="G1048482" s="5"/>
      <c r="H1048482" s="5"/>
      <c r="I1048482" s="5"/>
      <c r="J1048482" s="5"/>
      <c r="K1048482" s="5"/>
      <c r="L1048482" s="5"/>
      <c r="M1048482" s="5"/>
      <c r="N1048482" s="5"/>
      <c r="O1048482" s="5"/>
      <c r="P1048482" s="3"/>
      <c r="Q1048482" s="3"/>
      <c r="R1048482" s="3"/>
      <c r="S1048482" s="3"/>
      <c r="T1048482" s="3"/>
      <c r="U1048482" s="5"/>
      <c r="V1048482" s="3"/>
    </row>
    <row r="1048483" customFormat="1" spans="1:22">
      <c r="A1048483" s="5"/>
      <c r="B1048483" s="5"/>
      <c r="C1048483" s="5"/>
      <c r="D1048483" s="3"/>
      <c r="E1048483" s="4"/>
      <c r="F1048483" s="4"/>
      <c r="G1048483" s="5"/>
      <c r="H1048483" s="5"/>
      <c r="I1048483" s="5"/>
      <c r="J1048483" s="5"/>
      <c r="K1048483" s="5"/>
      <c r="L1048483" s="5"/>
      <c r="M1048483" s="5"/>
      <c r="N1048483" s="5"/>
      <c r="O1048483" s="5"/>
      <c r="P1048483" s="3"/>
      <c r="Q1048483" s="3"/>
      <c r="R1048483" s="3"/>
      <c r="S1048483" s="3"/>
      <c r="T1048483" s="3"/>
      <c r="U1048483" s="5"/>
      <c r="V1048483" s="3"/>
    </row>
    <row r="1048484" customFormat="1" spans="1:22">
      <c r="A1048484" s="5"/>
      <c r="B1048484" s="5"/>
      <c r="C1048484" s="5"/>
      <c r="D1048484" s="3"/>
      <c r="E1048484" s="4"/>
      <c r="F1048484" s="4"/>
      <c r="G1048484" s="5"/>
      <c r="H1048484" s="5"/>
      <c r="I1048484" s="5"/>
      <c r="J1048484" s="5"/>
      <c r="K1048484" s="5"/>
      <c r="L1048484" s="5"/>
      <c r="M1048484" s="5"/>
      <c r="N1048484" s="5"/>
      <c r="O1048484" s="5"/>
      <c r="P1048484" s="3"/>
      <c r="Q1048484" s="3"/>
      <c r="R1048484" s="3"/>
      <c r="S1048484" s="3"/>
      <c r="T1048484" s="3"/>
      <c r="U1048484" s="5"/>
      <c r="V1048484" s="3"/>
    </row>
    <row r="1048485" customFormat="1" spans="1:22">
      <c r="A1048485" s="5"/>
      <c r="B1048485" s="5"/>
      <c r="C1048485" s="5"/>
      <c r="D1048485" s="3"/>
      <c r="E1048485" s="4"/>
      <c r="F1048485" s="4"/>
      <c r="G1048485" s="5"/>
      <c r="H1048485" s="5"/>
      <c r="I1048485" s="5"/>
      <c r="J1048485" s="5"/>
      <c r="K1048485" s="5"/>
      <c r="L1048485" s="5"/>
      <c r="M1048485" s="5"/>
      <c r="N1048485" s="5"/>
      <c r="O1048485" s="5"/>
      <c r="P1048485" s="3"/>
      <c r="Q1048485" s="3"/>
      <c r="R1048485" s="3"/>
      <c r="S1048485" s="3"/>
      <c r="T1048485" s="3"/>
      <c r="U1048485" s="5"/>
      <c r="V1048485" s="3"/>
    </row>
    <row r="1048486" customFormat="1" spans="1:22">
      <c r="A1048486" s="5"/>
      <c r="B1048486" s="5"/>
      <c r="C1048486" s="5"/>
      <c r="D1048486" s="3"/>
      <c r="E1048486" s="4"/>
      <c r="F1048486" s="4"/>
      <c r="G1048486" s="5"/>
      <c r="H1048486" s="5"/>
      <c r="I1048486" s="5"/>
      <c r="J1048486" s="5"/>
      <c r="K1048486" s="5"/>
      <c r="L1048486" s="5"/>
      <c r="M1048486" s="5"/>
      <c r="N1048486" s="5"/>
      <c r="O1048486" s="5"/>
      <c r="P1048486" s="3"/>
      <c r="Q1048486" s="3"/>
      <c r="R1048486" s="3"/>
      <c r="S1048486" s="3"/>
      <c r="T1048486" s="3"/>
      <c r="U1048486" s="5"/>
      <c r="V1048486" s="3"/>
    </row>
    <row r="1048487" customFormat="1" spans="1:22">
      <c r="A1048487" s="5"/>
      <c r="B1048487" s="5"/>
      <c r="C1048487" s="5"/>
      <c r="D1048487" s="3"/>
      <c r="E1048487" s="4"/>
      <c r="F1048487" s="4"/>
      <c r="G1048487" s="5"/>
      <c r="H1048487" s="5"/>
      <c r="I1048487" s="5"/>
      <c r="J1048487" s="5"/>
      <c r="K1048487" s="5"/>
      <c r="L1048487" s="5"/>
      <c r="M1048487" s="5"/>
      <c r="N1048487" s="5"/>
      <c r="O1048487" s="5"/>
      <c r="P1048487" s="3"/>
      <c r="Q1048487" s="3"/>
      <c r="R1048487" s="3"/>
      <c r="S1048487" s="3"/>
      <c r="T1048487" s="3"/>
      <c r="U1048487" s="5"/>
      <c r="V1048487" s="3"/>
    </row>
    <row r="1048488" customFormat="1" spans="1:22">
      <c r="A1048488" s="5"/>
      <c r="B1048488" s="5"/>
      <c r="C1048488" s="5"/>
      <c r="D1048488" s="3"/>
      <c r="E1048488" s="4"/>
      <c r="F1048488" s="4"/>
      <c r="G1048488" s="5"/>
      <c r="H1048488" s="5"/>
      <c r="I1048488" s="5"/>
      <c r="J1048488" s="5"/>
      <c r="K1048488" s="5"/>
      <c r="L1048488" s="5"/>
      <c r="M1048488" s="5"/>
      <c r="N1048488" s="5"/>
      <c r="O1048488" s="5"/>
      <c r="P1048488" s="3"/>
      <c r="Q1048488" s="3"/>
      <c r="R1048488" s="3"/>
      <c r="S1048488" s="3"/>
      <c r="T1048488" s="3"/>
      <c r="U1048488" s="5"/>
      <c r="V1048488" s="3"/>
    </row>
    <row r="1048489" customFormat="1" spans="1:22">
      <c r="A1048489" s="5"/>
      <c r="B1048489" s="5"/>
      <c r="C1048489" s="5"/>
      <c r="D1048489" s="3"/>
      <c r="E1048489" s="4"/>
      <c r="F1048489" s="4"/>
      <c r="G1048489" s="5"/>
      <c r="H1048489" s="5"/>
      <c r="I1048489" s="5"/>
      <c r="J1048489" s="5"/>
      <c r="K1048489" s="5"/>
      <c r="L1048489" s="5"/>
      <c r="M1048489" s="5"/>
      <c r="N1048489" s="5"/>
      <c r="O1048489" s="5"/>
      <c r="P1048489" s="3"/>
      <c r="Q1048489" s="3"/>
      <c r="R1048489" s="3"/>
      <c r="S1048489" s="3"/>
      <c r="T1048489" s="3"/>
      <c r="U1048489" s="5"/>
      <c r="V1048489" s="3"/>
    </row>
    <row r="1048490" customFormat="1" spans="1:22">
      <c r="A1048490" s="5"/>
      <c r="B1048490" s="5"/>
      <c r="C1048490" s="5"/>
      <c r="D1048490" s="3"/>
      <c r="E1048490" s="4"/>
      <c r="F1048490" s="4"/>
      <c r="G1048490" s="5"/>
      <c r="H1048490" s="5"/>
      <c r="I1048490" s="5"/>
      <c r="J1048490" s="5"/>
      <c r="K1048490" s="5"/>
      <c r="L1048490" s="5"/>
      <c r="M1048490" s="5"/>
      <c r="N1048490" s="5"/>
      <c r="O1048490" s="5"/>
      <c r="P1048490" s="3"/>
      <c r="Q1048490" s="3"/>
      <c r="R1048490" s="3"/>
      <c r="S1048490" s="3"/>
      <c r="T1048490" s="3"/>
      <c r="U1048490" s="5"/>
      <c r="V1048490" s="3"/>
    </row>
    <row r="1048491" customFormat="1" spans="1:22">
      <c r="A1048491" s="5"/>
      <c r="B1048491" s="5"/>
      <c r="C1048491" s="5"/>
      <c r="D1048491" s="3"/>
      <c r="E1048491" s="4"/>
      <c r="F1048491" s="4"/>
      <c r="G1048491" s="5"/>
      <c r="H1048491" s="5"/>
      <c r="I1048491" s="5"/>
      <c r="J1048491" s="5"/>
      <c r="K1048491" s="5"/>
      <c r="L1048491" s="5"/>
      <c r="M1048491" s="5"/>
      <c r="N1048491" s="5"/>
      <c r="O1048491" s="5"/>
      <c r="P1048491" s="3"/>
      <c r="Q1048491" s="3"/>
      <c r="R1048491" s="3"/>
      <c r="S1048491" s="3"/>
      <c r="T1048491" s="3"/>
      <c r="U1048491" s="5"/>
      <c r="V1048491" s="3"/>
    </row>
    <row r="1048492" customFormat="1" spans="1:22">
      <c r="A1048492" s="5"/>
      <c r="B1048492" s="5"/>
      <c r="C1048492" s="5"/>
      <c r="D1048492" s="3"/>
      <c r="E1048492" s="4"/>
      <c r="F1048492" s="4"/>
      <c r="G1048492" s="5"/>
      <c r="H1048492" s="5"/>
      <c r="I1048492" s="5"/>
      <c r="J1048492" s="5"/>
      <c r="K1048492" s="5"/>
      <c r="L1048492" s="5"/>
      <c r="M1048492" s="5"/>
      <c r="N1048492" s="5"/>
      <c r="O1048492" s="5"/>
      <c r="P1048492" s="3"/>
      <c r="Q1048492" s="3"/>
      <c r="R1048492" s="3"/>
      <c r="S1048492" s="3"/>
      <c r="T1048492" s="3"/>
      <c r="U1048492" s="5"/>
      <c r="V1048492" s="3"/>
    </row>
    <row r="1048493" customFormat="1" spans="1:22">
      <c r="A1048493" s="5"/>
      <c r="B1048493" s="5"/>
      <c r="C1048493" s="5"/>
      <c r="D1048493" s="3"/>
      <c r="E1048493" s="4"/>
      <c r="F1048493" s="4"/>
      <c r="G1048493" s="5"/>
      <c r="H1048493" s="5"/>
      <c r="I1048493" s="5"/>
      <c r="J1048493" s="5"/>
      <c r="K1048493" s="5"/>
      <c r="L1048493" s="5"/>
      <c r="M1048493" s="5"/>
      <c r="N1048493" s="5"/>
      <c r="O1048493" s="5"/>
      <c r="P1048493" s="3"/>
      <c r="Q1048493" s="3"/>
      <c r="R1048493" s="3"/>
      <c r="S1048493" s="3"/>
      <c r="T1048493" s="3"/>
      <c r="U1048493" s="5"/>
      <c r="V1048493" s="3"/>
    </row>
    <row r="1048494" customFormat="1" spans="1:22">
      <c r="A1048494" s="5"/>
      <c r="B1048494" s="5"/>
      <c r="C1048494" s="5"/>
      <c r="D1048494" s="3"/>
      <c r="E1048494" s="4"/>
      <c r="F1048494" s="4"/>
      <c r="G1048494" s="5"/>
      <c r="H1048494" s="5"/>
      <c r="I1048494" s="5"/>
      <c r="J1048494" s="5"/>
      <c r="K1048494" s="5"/>
      <c r="L1048494" s="5"/>
      <c r="M1048494" s="5"/>
      <c r="N1048494" s="5"/>
      <c r="O1048494" s="5"/>
      <c r="P1048494" s="3"/>
      <c r="Q1048494" s="3"/>
      <c r="R1048494" s="3"/>
      <c r="S1048494" s="3"/>
      <c r="T1048494" s="3"/>
      <c r="U1048494" s="5"/>
      <c r="V1048494" s="3"/>
    </row>
    <row r="1048495" customFormat="1" spans="1:22">
      <c r="A1048495" s="5"/>
      <c r="B1048495" s="5"/>
      <c r="C1048495" s="5"/>
      <c r="D1048495" s="3"/>
      <c r="E1048495" s="4"/>
      <c r="F1048495" s="4"/>
      <c r="G1048495" s="5"/>
      <c r="H1048495" s="5"/>
      <c r="I1048495" s="5"/>
      <c r="J1048495" s="5"/>
      <c r="K1048495" s="5"/>
      <c r="L1048495" s="5"/>
      <c r="M1048495" s="5"/>
      <c r="N1048495" s="5"/>
      <c r="O1048495" s="5"/>
      <c r="P1048495" s="3"/>
      <c r="Q1048495" s="3"/>
      <c r="R1048495" s="3"/>
      <c r="S1048495" s="3"/>
      <c r="T1048495" s="3"/>
      <c r="U1048495" s="5"/>
      <c r="V1048495" s="3"/>
    </row>
    <row r="1048496" customFormat="1" spans="1:22">
      <c r="A1048496" s="5"/>
      <c r="B1048496" s="5"/>
      <c r="C1048496" s="5"/>
      <c r="D1048496" s="3"/>
      <c r="E1048496" s="4"/>
      <c r="F1048496" s="4"/>
      <c r="G1048496" s="5"/>
      <c r="H1048496" s="5"/>
      <c r="I1048496" s="5"/>
      <c r="J1048496" s="5"/>
      <c r="K1048496" s="5"/>
      <c r="L1048496" s="5"/>
      <c r="M1048496" s="5"/>
      <c r="N1048496" s="5"/>
      <c r="O1048496" s="5"/>
      <c r="P1048496" s="3"/>
      <c r="Q1048496" s="3"/>
      <c r="R1048496" s="3"/>
      <c r="S1048496" s="3"/>
      <c r="T1048496" s="3"/>
      <c r="U1048496" s="5"/>
      <c r="V1048496" s="3"/>
    </row>
    <row r="1048497" customFormat="1" spans="1:22">
      <c r="A1048497" s="5"/>
      <c r="B1048497" s="5"/>
      <c r="C1048497" s="5"/>
      <c r="D1048497" s="3"/>
      <c r="E1048497" s="4"/>
      <c r="F1048497" s="4"/>
      <c r="G1048497" s="5"/>
      <c r="H1048497" s="5"/>
      <c r="I1048497" s="5"/>
      <c r="J1048497" s="5"/>
      <c r="K1048497" s="5"/>
      <c r="L1048497" s="5"/>
      <c r="M1048497" s="5"/>
      <c r="N1048497" s="5"/>
      <c r="O1048497" s="5"/>
      <c r="P1048497" s="3"/>
      <c r="Q1048497" s="3"/>
      <c r="R1048497" s="3"/>
      <c r="S1048497" s="3"/>
      <c r="T1048497" s="3"/>
      <c r="U1048497" s="5"/>
      <c r="V1048497" s="3"/>
    </row>
    <row r="1048498" customFormat="1" spans="1:22">
      <c r="A1048498" s="5"/>
      <c r="B1048498" s="5"/>
      <c r="C1048498" s="5"/>
      <c r="D1048498" s="3"/>
      <c r="E1048498" s="4"/>
      <c r="F1048498" s="4"/>
      <c r="G1048498" s="5"/>
      <c r="H1048498" s="5"/>
      <c r="I1048498" s="5"/>
      <c r="J1048498" s="5"/>
      <c r="K1048498" s="5"/>
      <c r="L1048498" s="5"/>
      <c r="M1048498" s="5"/>
      <c r="N1048498" s="5"/>
      <c r="O1048498" s="5"/>
      <c r="P1048498" s="3"/>
      <c r="Q1048498" s="3"/>
      <c r="R1048498" s="3"/>
      <c r="S1048498" s="3"/>
      <c r="T1048498" s="3"/>
      <c r="U1048498" s="5"/>
      <c r="V1048498" s="3"/>
    </row>
    <row r="1048499" customFormat="1" spans="1:22">
      <c r="A1048499" s="5"/>
      <c r="B1048499" s="5"/>
      <c r="C1048499" s="5"/>
      <c r="D1048499" s="3"/>
      <c r="E1048499" s="4"/>
      <c r="F1048499" s="4"/>
      <c r="G1048499" s="5"/>
      <c r="H1048499" s="5"/>
      <c r="I1048499" s="5"/>
      <c r="J1048499" s="5"/>
      <c r="K1048499" s="5"/>
      <c r="L1048499" s="5"/>
      <c r="M1048499" s="5"/>
      <c r="N1048499" s="5"/>
      <c r="O1048499" s="5"/>
      <c r="P1048499" s="3"/>
      <c r="Q1048499" s="3"/>
      <c r="R1048499" s="3"/>
      <c r="S1048499" s="3"/>
      <c r="T1048499" s="3"/>
      <c r="U1048499" s="5"/>
      <c r="V1048499" s="3"/>
    </row>
    <row r="1048500" customFormat="1" spans="1:22">
      <c r="A1048500" s="5"/>
      <c r="B1048500" s="5"/>
      <c r="C1048500" s="5"/>
      <c r="D1048500" s="3"/>
      <c r="E1048500" s="4"/>
      <c r="F1048500" s="4"/>
      <c r="G1048500" s="5"/>
      <c r="H1048500" s="5"/>
      <c r="I1048500" s="5"/>
      <c r="J1048500" s="5"/>
      <c r="K1048500" s="5"/>
      <c r="L1048500" s="5"/>
      <c r="M1048500" s="5"/>
      <c r="N1048500" s="5"/>
      <c r="O1048500" s="5"/>
      <c r="P1048500" s="3"/>
      <c r="Q1048500" s="3"/>
      <c r="R1048500" s="3"/>
      <c r="S1048500" s="3"/>
      <c r="T1048500" s="3"/>
      <c r="U1048500" s="5"/>
      <c r="V1048500" s="3"/>
    </row>
    <row r="1048501" customFormat="1" spans="1:22">
      <c r="A1048501" s="5"/>
      <c r="B1048501" s="5"/>
      <c r="C1048501" s="5"/>
      <c r="D1048501" s="3"/>
      <c r="E1048501" s="4"/>
      <c r="F1048501" s="4"/>
      <c r="G1048501" s="5"/>
      <c r="H1048501" s="5"/>
      <c r="I1048501" s="5"/>
      <c r="J1048501" s="5"/>
      <c r="K1048501" s="5"/>
      <c r="L1048501" s="5"/>
      <c r="M1048501" s="5"/>
      <c r="N1048501" s="5"/>
      <c r="O1048501" s="5"/>
      <c r="P1048501" s="3"/>
      <c r="Q1048501" s="3"/>
      <c r="R1048501" s="3"/>
      <c r="S1048501" s="3"/>
      <c r="T1048501" s="3"/>
      <c r="U1048501" s="5"/>
      <c r="V1048501" s="3"/>
    </row>
    <row r="1048502" customFormat="1" spans="1:22">
      <c r="A1048502" s="5"/>
      <c r="B1048502" s="5"/>
      <c r="C1048502" s="5"/>
      <c r="D1048502" s="3"/>
      <c r="E1048502" s="4"/>
      <c r="F1048502" s="4"/>
      <c r="G1048502" s="5"/>
      <c r="H1048502" s="5"/>
      <c r="I1048502" s="5"/>
      <c r="J1048502" s="5"/>
      <c r="K1048502" s="5"/>
      <c r="L1048502" s="5"/>
      <c r="M1048502" s="5"/>
      <c r="N1048502" s="5"/>
      <c r="O1048502" s="5"/>
      <c r="P1048502" s="3"/>
      <c r="Q1048502" s="3"/>
      <c r="R1048502" s="3"/>
      <c r="S1048502" s="3"/>
      <c r="T1048502" s="3"/>
      <c r="U1048502" s="5"/>
      <c r="V1048502" s="3"/>
    </row>
    <row r="1048503" customFormat="1" spans="1:22">
      <c r="A1048503" s="5"/>
      <c r="B1048503" s="5"/>
      <c r="C1048503" s="5"/>
      <c r="D1048503" s="3"/>
      <c r="E1048503" s="4"/>
      <c r="F1048503" s="4"/>
      <c r="G1048503" s="5"/>
      <c r="H1048503" s="5"/>
      <c r="I1048503" s="5"/>
      <c r="J1048503" s="5"/>
      <c r="K1048503" s="5"/>
      <c r="L1048503" s="5"/>
      <c r="M1048503" s="5"/>
      <c r="N1048503" s="5"/>
      <c r="O1048503" s="5"/>
      <c r="P1048503" s="3"/>
      <c r="Q1048503" s="3"/>
      <c r="R1048503" s="3"/>
      <c r="S1048503" s="3"/>
      <c r="T1048503" s="3"/>
      <c r="U1048503" s="5"/>
      <c r="V1048503" s="3"/>
    </row>
    <row r="1048504" customFormat="1" spans="1:22">
      <c r="A1048504" s="5"/>
      <c r="B1048504" s="5"/>
      <c r="C1048504" s="5"/>
      <c r="D1048504" s="3"/>
      <c r="E1048504" s="4"/>
      <c r="F1048504" s="4"/>
      <c r="G1048504" s="5"/>
      <c r="H1048504" s="5"/>
      <c r="I1048504" s="5"/>
      <c r="J1048504" s="5"/>
      <c r="K1048504" s="5"/>
      <c r="L1048504" s="5"/>
      <c r="M1048504" s="5"/>
      <c r="N1048504" s="5"/>
      <c r="O1048504" s="5"/>
      <c r="P1048504" s="3"/>
      <c r="Q1048504" s="3"/>
      <c r="R1048504" s="3"/>
      <c r="S1048504" s="3"/>
      <c r="T1048504" s="3"/>
      <c r="U1048504" s="5"/>
      <c r="V1048504" s="3"/>
    </row>
    <row r="1048505" customFormat="1" spans="1:22">
      <c r="A1048505" s="5"/>
      <c r="B1048505" s="5"/>
      <c r="C1048505" s="5"/>
      <c r="D1048505" s="3"/>
      <c r="E1048505" s="4"/>
      <c r="F1048505" s="4"/>
      <c r="G1048505" s="5"/>
      <c r="H1048505" s="5"/>
      <c r="I1048505" s="5"/>
      <c r="J1048505" s="5"/>
      <c r="K1048505" s="5"/>
      <c r="L1048505" s="5"/>
      <c r="M1048505" s="5"/>
      <c r="N1048505" s="5"/>
      <c r="O1048505" s="5"/>
      <c r="P1048505" s="3"/>
      <c r="Q1048505" s="3"/>
      <c r="R1048505" s="3"/>
      <c r="S1048505" s="3"/>
      <c r="T1048505" s="3"/>
      <c r="U1048505" s="5"/>
      <c r="V1048505" s="3"/>
    </row>
    <row r="1048506" customFormat="1" spans="1:22">
      <c r="A1048506" s="5"/>
      <c r="B1048506" s="5"/>
      <c r="C1048506" s="5"/>
      <c r="D1048506" s="3"/>
      <c r="E1048506" s="4"/>
      <c r="F1048506" s="4"/>
      <c r="G1048506" s="5"/>
      <c r="H1048506" s="5"/>
      <c r="I1048506" s="5"/>
      <c r="J1048506" s="5"/>
      <c r="K1048506" s="5"/>
      <c r="L1048506" s="5"/>
      <c r="M1048506" s="5"/>
      <c r="N1048506" s="5"/>
      <c r="O1048506" s="5"/>
      <c r="P1048506" s="3"/>
      <c r="Q1048506" s="3"/>
      <c r="R1048506" s="3"/>
      <c r="S1048506" s="3"/>
      <c r="T1048506" s="3"/>
      <c r="U1048506" s="5"/>
      <c r="V1048506" s="3"/>
    </row>
    <row r="1048507" customFormat="1" spans="1:22">
      <c r="A1048507" s="5"/>
      <c r="B1048507" s="5"/>
      <c r="C1048507" s="5"/>
      <c r="D1048507" s="3"/>
      <c r="E1048507" s="4"/>
      <c r="F1048507" s="4"/>
      <c r="G1048507" s="5"/>
      <c r="H1048507" s="5"/>
      <c r="I1048507" s="5"/>
      <c r="J1048507" s="5"/>
      <c r="K1048507" s="5"/>
      <c r="L1048507" s="5"/>
      <c r="M1048507" s="5"/>
      <c r="N1048507" s="5"/>
      <c r="O1048507" s="5"/>
      <c r="P1048507" s="3"/>
      <c r="Q1048507" s="3"/>
      <c r="R1048507" s="3"/>
      <c r="S1048507" s="3"/>
      <c r="T1048507" s="3"/>
      <c r="U1048507" s="5"/>
      <c r="V1048507" s="3"/>
    </row>
    <row r="1048508" customFormat="1" spans="1:22">
      <c r="A1048508" s="5"/>
      <c r="B1048508" s="5"/>
      <c r="C1048508" s="5"/>
      <c r="D1048508" s="3"/>
      <c r="E1048508" s="4"/>
      <c r="F1048508" s="4"/>
      <c r="G1048508" s="5"/>
      <c r="H1048508" s="5"/>
      <c r="I1048508" s="5"/>
      <c r="J1048508" s="5"/>
      <c r="K1048508" s="5"/>
      <c r="L1048508" s="5"/>
      <c r="M1048508" s="5"/>
      <c r="N1048508" s="5"/>
      <c r="O1048508" s="5"/>
      <c r="P1048508" s="3"/>
      <c r="Q1048508" s="3"/>
      <c r="R1048508" s="3"/>
      <c r="S1048508" s="3"/>
      <c r="T1048508" s="3"/>
      <c r="U1048508" s="5"/>
      <c r="V1048508" s="3"/>
    </row>
    <row r="1048509" customFormat="1" spans="1:22">
      <c r="A1048509" s="5"/>
      <c r="B1048509" s="5"/>
      <c r="C1048509" s="5"/>
      <c r="D1048509" s="3"/>
      <c r="E1048509" s="4"/>
      <c r="F1048509" s="4"/>
      <c r="G1048509" s="5"/>
      <c r="H1048509" s="5"/>
      <c r="I1048509" s="5"/>
      <c r="J1048509" s="5"/>
      <c r="K1048509" s="5"/>
      <c r="L1048509" s="5"/>
      <c r="M1048509" s="5"/>
      <c r="N1048509" s="5"/>
      <c r="O1048509" s="5"/>
      <c r="P1048509" s="3"/>
      <c r="Q1048509" s="3"/>
      <c r="R1048509" s="3"/>
      <c r="S1048509" s="3"/>
      <c r="T1048509" s="3"/>
      <c r="U1048509" s="5"/>
      <c r="V1048509" s="3"/>
    </row>
    <row r="1048510" customFormat="1" spans="1:22">
      <c r="A1048510" s="5"/>
      <c r="B1048510" s="5"/>
      <c r="C1048510" s="5"/>
      <c r="D1048510" s="3"/>
      <c r="E1048510" s="4"/>
      <c r="F1048510" s="4"/>
      <c r="G1048510" s="5"/>
      <c r="H1048510" s="5"/>
      <c r="I1048510" s="5"/>
      <c r="J1048510" s="5"/>
      <c r="K1048510" s="5"/>
      <c r="L1048510" s="5"/>
      <c r="M1048510" s="5"/>
      <c r="N1048510" s="5"/>
      <c r="O1048510" s="5"/>
      <c r="P1048510" s="3"/>
      <c r="Q1048510" s="3"/>
      <c r="R1048510" s="3"/>
      <c r="S1048510" s="3"/>
      <c r="T1048510" s="3"/>
      <c r="U1048510" s="5"/>
      <c r="V1048510" s="3"/>
    </row>
    <row r="1048511" customFormat="1" spans="1:22">
      <c r="A1048511" s="5"/>
      <c r="B1048511" s="5"/>
      <c r="C1048511" s="5"/>
      <c r="D1048511" s="3"/>
      <c r="E1048511" s="4"/>
      <c r="F1048511" s="4"/>
      <c r="G1048511" s="5"/>
      <c r="H1048511" s="5"/>
      <c r="I1048511" s="5"/>
      <c r="J1048511" s="5"/>
      <c r="K1048511" s="5"/>
      <c r="L1048511" s="5"/>
      <c r="M1048511" s="5"/>
      <c r="N1048511" s="5"/>
      <c r="O1048511" s="5"/>
      <c r="P1048511" s="3"/>
      <c r="Q1048511" s="3"/>
      <c r="R1048511" s="3"/>
      <c r="S1048511" s="3"/>
      <c r="T1048511" s="3"/>
      <c r="U1048511" s="5"/>
      <c r="V1048511" s="3"/>
    </row>
    <row r="1048512" customFormat="1" spans="1:22">
      <c r="A1048512" s="5"/>
      <c r="B1048512" s="5"/>
      <c r="C1048512" s="5"/>
      <c r="D1048512" s="3"/>
      <c r="E1048512" s="4"/>
      <c r="F1048512" s="4"/>
      <c r="G1048512" s="5"/>
      <c r="H1048512" s="5"/>
      <c r="I1048512" s="5"/>
      <c r="J1048512" s="5"/>
      <c r="K1048512" s="5"/>
      <c r="L1048512" s="5"/>
      <c r="M1048512" s="5"/>
      <c r="N1048512" s="5"/>
      <c r="O1048512" s="5"/>
      <c r="P1048512" s="3"/>
      <c r="Q1048512" s="3"/>
      <c r="R1048512" s="3"/>
      <c r="S1048512" s="3"/>
      <c r="T1048512" s="3"/>
      <c r="U1048512" s="5"/>
      <c r="V1048512" s="3"/>
    </row>
    <row r="1048513" customFormat="1" spans="1:22">
      <c r="A1048513" s="5"/>
      <c r="B1048513" s="5"/>
      <c r="C1048513" s="5"/>
      <c r="D1048513" s="3"/>
      <c r="E1048513" s="4"/>
      <c r="F1048513" s="4"/>
      <c r="G1048513" s="5"/>
      <c r="H1048513" s="5"/>
      <c r="I1048513" s="5"/>
      <c r="J1048513" s="5"/>
      <c r="K1048513" s="5"/>
      <c r="L1048513" s="5"/>
      <c r="M1048513" s="5"/>
      <c r="N1048513" s="5"/>
      <c r="O1048513" s="5"/>
      <c r="P1048513" s="3"/>
      <c r="Q1048513" s="3"/>
      <c r="R1048513" s="3"/>
      <c r="S1048513" s="3"/>
      <c r="T1048513" s="3"/>
      <c r="U1048513" s="5"/>
      <c r="V1048513" s="3"/>
    </row>
    <row r="1048514" customFormat="1" spans="1:22">
      <c r="A1048514" s="5"/>
      <c r="B1048514" s="5"/>
      <c r="C1048514" s="5"/>
      <c r="D1048514" s="3"/>
      <c r="E1048514" s="4"/>
      <c r="F1048514" s="4"/>
      <c r="G1048514" s="5"/>
      <c r="H1048514" s="5"/>
      <c r="I1048514" s="5"/>
      <c r="J1048514" s="5"/>
      <c r="K1048514" s="5"/>
      <c r="L1048514" s="5"/>
      <c r="M1048514" s="5"/>
      <c r="N1048514" s="5"/>
      <c r="O1048514" s="5"/>
      <c r="P1048514" s="3"/>
      <c r="Q1048514" s="3"/>
      <c r="R1048514" s="3"/>
      <c r="S1048514" s="3"/>
      <c r="T1048514" s="3"/>
      <c r="U1048514" s="5"/>
      <c r="V1048514" s="3"/>
    </row>
    <row r="1048515" customFormat="1" spans="1:22">
      <c r="A1048515" s="5"/>
      <c r="B1048515" s="5"/>
      <c r="C1048515" s="5"/>
      <c r="D1048515" s="3"/>
      <c r="E1048515" s="4"/>
      <c r="F1048515" s="4"/>
      <c r="G1048515" s="5"/>
      <c r="H1048515" s="5"/>
      <c r="I1048515" s="5"/>
      <c r="J1048515" s="5"/>
      <c r="K1048515" s="5"/>
      <c r="L1048515" s="5"/>
      <c r="M1048515" s="5"/>
      <c r="N1048515" s="5"/>
      <c r="O1048515" s="5"/>
      <c r="P1048515" s="3"/>
      <c r="Q1048515" s="3"/>
      <c r="R1048515" s="3"/>
      <c r="S1048515" s="3"/>
      <c r="T1048515" s="3"/>
      <c r="U1048515" s="5"/>
      <c r="V1048515" s="3"/>
    </row>
    <row r="1048516" customFormat="1" spans="1:22">
      <c r="A1048516" s="5"/>
      <c r="B1048516" s="5"/>
      <c r="C1048516" s="5"/>
      <c r="D1048516" s="3"/>
      <c r="E1048516" s="4"/>
      <c r="F1048516" s="4"/>
      <c r="G1048516" s="5"/>
      <c r="H1048516" s="5"/>
      <c r="I1048516" s="5"/>
      <c r="J1048516" s="5"/>
      <c r="K1048516" s="5"/>
      <c r="L1048516" s="5"/>
      <c r="M1048516" s="5"/>
      <c r="N1048516" s="5"/>
      <c r="O1048516" s="5"/>
      <c r="P1048516" s="3"/>
      <c r="Q1048516" s="3"/>
      <c r="R1048516" s="3"/>
      <c r="S1048516" s="3"/>
      <c r="T1048516" s="3"/>
      <c r="U1048516" s="5"/>
      <c r="V1048516" s="3"/>
    </row>
    <row r="1048517" customFormat="1" spans="1:22">
      <c r="A1048517" s="5"/>
      <c r="B1048517" s="5"/>
      <c r="C1048517" s="5"/>
      <c r="D1048517" s="3"/>
      <c r="E1048517" s="4"/>
      <c r="F1048517" s="4"/>
      <c r="G1048517" s="5"/>
      <c r="H1048517" s="5"/>
      <c r="I1048517" s="5"/>
      <c r="J1048517" s="5"/>
      <c r="K1048517" s="5"/>
      <c r="L1048517" s="5"/>
      <c r="M1048517" s="5"/>
      <c r="N1048517" s="5"/>
      <c r="O1048517" s="5"/>
      <c r="P1048517" s="3"/>
      <c r="Q1048517" s="3"/>
      <c r="R1048517" s="3"/>
      <c r="S1048517" s="3"/>
      <c r="T1048517" s="3"/>
      <c r="U1048517" s="5"/>
      <c r="V1048517" s="3"/>
    </row>
    <row r="1048518" customFormat="1" spans="1:22">
      <c r="A1048518" s="5"/>
      <c r="B1048518" s="5"/>
      <c r="C1048518" s="5"/>
      <c r="D1048518" s="3"/>
      <c r="E1048518" s="4"/>
      <c r="F1048518" s="4"/>
      <c r="G1048518" s="5"/>
      <c r="H1048518" s="5"/>
      <c r="I1048518" s="5"/>
      <c r="J1048518" s="5"/>
      <c r="K1048518" s="5"/>
      <c r="L1048518" s="5"/>
      <c r="M1048518" s="5"/>
      <c r="N1048518" s="5"/>
      <c r="O1048518" s="5"/>
      <c r="P1048518" s="3"/>
      <c r="Q1048518" s="3"/>
      <c r="R1048518" s="3"/>
      <c r="S1048518" s="3"/>
      <c r="T1048518" s="3"/>
      <c r="U1048518" s="5"/>
      <c r="V1048518" s="3"/>
    </row>
    <row r="1048519" customFormat="1" spans="1:22">
      <c r="A1048519" s="5"/>
      <c r="B1048519" s="5"/>
      <c r="C1048519" s="5"/>
      <c r="D1048519" s="3"/>
      <c r="E1048519" s="4"/>
      <c r="F1048519" s="4"/>
      <c r="G1048519" s="5"/>
      <c r="H1048519" s="5"/>
      <c r="I1048519" s="5"/>
      <c r="J1048519" s="5"/>
      <c r="K1048519" s="5"/>
      <c r="L1048519" s="5"/>
      <c r="M1048519" s="5"/>
      <c r="N1048519" s="5"/>
      <c r="O1048519" s="5"/>
      <c r="P1048519" s="3"/>
      <c r="Q1048519" s="3"/>
      <c r="R1048519" s="3"/>
      <c r="S1048519" s="3"/>
      <c r="T1048519" s="3"/>
      <c r="U1048519" s="5"/>
      <c r="V1048519" s="3"/>
    </row>
    <row r="1048520" customFormat="1" spans="1:22">
      <c r="A1048520" s="5"/>
      <c r="B1048520" s="5"/>
      <c r="C1048520" s="5"/>
      <c r="D1048520" s="3"/>
      <c r="E1048520" s="4"/>
      <c r="F1048520" s="4"/>
      <c r="G1048520" s="5"/>
      <c r="H1048520" s="5"/>
      <c r="I1048520" s="5"/>
      <c r="J1048520" s="5"/>
      <c r="K1048520" s="5"/>
      <c r="L1048520" s="5"/>
      <c r="M1048520" s="5"/>
      <c r="N1048520" s="5"/>
      <c r="O1048520" s="5"/>
      <c r="P1048520" s="3"/>
      <c r="Q1048520" s="3"/>
      <c r="R1048520" s="3"/>
      <c r="S1048520" s="3"/>
      <c r="T1048520" s="3"/>
      <c r="U1048520" s="5"/>
      <c r="V1048520" s="3"/>
    </row>
    <row r="1048521" customFormat="1" spans="1:22">
      <c r="A1048521" s="5"/>
      <c r="B1048521" s="5"/>
      <c r="C1048521" s="5"/>
      <c r="D1048521" s="3"/>
      <c r="E1048521" s="4"/>
      <c r="F1048521" s="4"/>
      <c r="G1048521" s="5"/>
      <c r="H1048521" s="5"/>
      <c r="I1048521" s="5"/>
      <c r="J1048521" s="5"/>
      <c r="K1048521" s="5"/>
      <c r="L1048521" s="5"/>
      <c r="M1048521" s="5"/>
      <c r="N1048521" s="5"/>
      <c r="O1048521" s="5"/>
      <c r="P1048521" s="3"/>
      <c r="Q1048521" s="3"/>
      <c r="R1048521" s="3"/>
      <c r="S1048521" s="3"/>
      <c r="T1048521" s="3"/>
      <c r="U1048521" s="5"/>
      <c r="V1048521" s="3"/>
    </row>
    <row r="1048522" customFormat="1" spans="1:22">
      <c r="A1048522" s="5"/>
      <c r="B1048522" s="5"/>
      <c r="C1048522" s="5"/>
      <c r="D1048522" s="3"/>
      <c r="E1048522" s="4"/>
      <c r="F1048522" s="4"/>
      <c r="G1048522" s="5"/>
      <c r="H1048522" s="5"/>
      <c r="I1048522" s="5"/>
      <c r="J1048522" s="5"/>
      <c r="K1048522" s="5"/>
      <c r="L1048522" s="5"/>
      <c r="M1048522" s="5"/>
      <c r="N1048522" s="5"/>
      <c r="O1048522" s="5"/>
      <c r="P1048522" s="3"/>
      <c r="Q1048522" s="3"/>
      <c r="R1048522" s="3"/>
      <c r="S1048522" s="3"/>
      <c r="T1048522" s="3"/>
      <c r="U1048522" s="5"/>
      <c r="V1048522" s="3"/>
    </row>
    <row r="1048523" customFormat="1" spans="1:22">
      <c r="A1048523" s="5"/>
      <c r="B1048523" s="5"/>
      <c r="C1048523" s="5"/>
      <c r="D1048523" s="3"/>
      <c r="E1048523" s="4"/>
      <c r="F1048523" s="4"/>
      <c r="G1048523" s="5"/>
      <c r="H1048523" s="5"/>
      <c r="I1048523" s="5"/>
      <c r="J1048523" s="5"/>
      <c r="K1048523" s="5"/>
      <c r="L1048523" s="5"/>
      <c r="M1048523" s="5"/>
      <c r="N1048523" s="5"/>
      <c r="O1048523" s="5"/>
      <c r="P1048523" s="3"/>
      <c r="Q1048523" s="3"/>
      <c r="R1048523" s="3"/>
      <c r="S1048523" s="3"/>
      <c r="T1048523" s="3"/>
      <c r="U1048523" s="5"/>
      <c r="V1048523" s="3"/>
    </row>
    <row r="1048524" customFormat="1" spans="1:22">
      <c r="A1048524" s="5"/>
      <c r="B1048524" s="5"/>
      <c r="C1048524" s="5"/>
      <c r="D1048524" s="3"/>
      <c r="E1048524" s="4"/>
      <c r="F1048524" s="4"/>
      <c r="G1048524" s="5"/>
      <c r="H1048524" s="5"/>
      <c r="I1048524" s="5"/>
      <c r="J1048524" s="5"/>
      <c r="K1048524" s="5"/>
      <c r="L1048524" s="5"/>
      <c r="M1048524" s="5"/>
      <c r="N1048524" s="5"/>
      <c r="O1048524" s="5"/>
      <c r="P1048524" s="3"/>
      <c r="Q1048524" s="3"/>
      <c r="R1048524" s="3"/>
      <c r="S1048524" s="3"/>
      <c r="T1048524" s="3"/>
      <c r="U1048524" s="5"/>
      <c r="V1048524" s="3"/>
    </row>
    <row r="1048525" customFormat="1" spans="1:22">
      <c r="A1048525" s="5"/>
      <c r="B1048525" s="5"/>
      <c r="C1048525" s="5"/>
      <c r="D1048525" s="3"/>
      <c r="E1048525" s="4"/>
      <c r="F1048525" s="4"/>
      <c r="G1048525" s="5"/>
      <c r="H1048525" s="5"/>
      <c r="I1048525" s="5"/>
      <c r="J1048525" s="5"/>
      <c r="K1048525" s="5"/>
      <c r="L1048525" s="5"/>
      <c r="M1048525" s="5"/>
      <c r="N1048525" s="5"/>
      <c r="O1048525" s="5"/>
      <c r="P1048525" s="3"/>
      <c r="Q1048525" s="3"/>
      <c r="R1048525" s="3"/>
      <c r="S1048525" s="3"/>
      <c r="T1048525" s="3"/>
      <c r="U1048525" s="5"/>
      <c r="V1048525" s="3"/>
    </row>
    <row r="1048526" customFormat="1" spans="1:22">
      <c r="A1048526" s="5"/>
      <c r="B1048526" s="5"/>
      <c r="C1048526" s="5"/>
      <c r="D1048526" s="3"/>
      <c r="E1048526" s="4"/>
      <c r="F1048526" s="4"/>
      <c r="G1048526" s="5"/>
      <c r="H1048526" s="5"/>
      <c r="I1048526" s="5"/>
      <c r="J1048526" s="5"/>
      <c r="K1048526" s="5"/>
      <c r="L1048526" s="5"/>
      <c r="M1048526" s="5"/>
      <c r="N1048526" s="5"/>
      <c r="O1048526" s="5"/>
      <c r="P1048526" s="3"/>
      <c r="Q1048526" s="3"/>
      <c r="R1048526" s="3"/>
      <c r="S1048526" s="3"/>
      <c r="T1048526" s="3"/>
      <c r="U1048526" s="5"/>
      <c r="V1048526" s="3"/>
    </row>
    <row r="1048527" customFormat="1" spans="1:22">
      <c r="A1048527" s="5"/>
      <c r="B1048527" s="5"/>
      <c r="C1048527" s="5"/>
      <c r="D1048527" s="3"/>
      <c r="E1048527" s="4"/>
      <c r="F1048527" s="4"/>
      <c r="G1048527" s="5"/>
      <c r="H1048527" s="5"/>
      <c r="I1048527" s="5"/>
      <c r="J1048527" s="5"/>
      <c r="K1048527" s="5"/>
      <c r="L1048527" s="5"/>
      <c r="M1048527" s="5"/>
      <c r="N1048527" s="5"/>
      <c r="O1048527" s="5"/>
      <c r="P1048527" s="3"/>
      <c r="Q1048527" s="3"/>
      <c r="R1048527" s="3"/>
      <c r="S1048527" s="3"/>
      <c r="T1048527" s="3"/>
      <c r="U1048527" s="5"/>
      <c r="V1048527" s="3"/>
    </row>
    <row r="1048528" customFormat="1" spans="1:22">
      <c r="A1048528" s="5"/>
      <c r="B1048528" s="5"/>
      <c r="C1048528" s="5"/>
      <c r="D1048528" s="3"/>
      <c r="E1048528" s="4"/>
      <c r="F1048528" s="4"/>
      <c r="G1048528" s="5"/>
      <c r="H1048528" s="5"/>
      <c r="I1048528" s="5"/>
      <c r="J1048528" s="5"/>
      <c r="K1048528" s="5"/>
      <c r="L1048528" s="5"/>
      <c r="M1048528" s="5"/>
      <c r="N1048528" s="5"/>
      <c r="O1048528" s="5"/>
      <c r="P1048528" s="3"/>
      <c r="Q1048528" s="3"/>
      <c r="R1048528" s="3"/>
      <c r="S1048528" s="3"/>
      <c r="T1048528" s="3"/>
      <c r="U1048528" s="5"/>
      <c r="V1048528" s="3"/>
    </row>
    <row r="1048529" customFormat="1" spans="1:22">
      <c r="A1048529" s="5"/>
      <c r="B1048529" s="5"/>
      <c r="C1048529" s="5"/>
      <c r="D1048529" s="3"/>
      <c r="E1048529" s="4"/>
      <c r="F1048529" s="4"/>
      <c r="G1048529" s="5"/>
      <c r="H1048529" s="5"/>
      <c r="I1048529" s="5"/>
      <c r="J1048529" s="5"/>
      <c r="K1048529" s="5"/>
      <c r="L1048529" s="5"/>
      <c r="M1048529" s="5"/>
      <c r="N1048529" s="5"/>
      <c r="O1048529" s="5"/>
      <c r="P1048529" s="3"/>
      <c r="Q1048529" s="3"/>
      <c r="R1048529" s="3"/>
      <c r="S1048529" s="3"/>
      <c r="T1048529" s="3"/>
      <c r="U1048529" s="5"/>
      <c r="V1048529" s="3"/>
    </row>
    <row r="1048530" customFormat="1" spans="1:22">
      <c r="A1048530" s="5"/>
      <c r="B1048530" s="5"/>
      <c r="C1048530" s="5"/>
      <c r="D1048530" s="3"/>
      <c r="E1048530" s="4"/>
      <c r="F1048530" s="4"/>
      <c r="G1048530" s="5"/>
      <c r="H1048530" s="5"/>
      <c r="I1048530" s="5"/>
      <c r="J1048530" s="5"/>
      <c r="K1048530" s="5"/>
      <c r="L1048530" s="5"/>
      <c r="M1048530" s="5"/>
      <c r="N1048530" s="5"/>
      <c r="O1048530" s="5"/>
      <c r="P1048530" s="3"/>
      <c r="Q1048530" s="3"/>
      <c r="R1048530" s="3"/>
      <c r="S1048530" s="3"/>
      <c r="T1048530" s="3"/>
      <c r="U1048530" s="5"/>
      <c r="V1048530" s="3"/>
    </row>
    <row r="1048531" customFormat="1" spans="1:22">
      <c r="A1048531" s="5"/>
      <c r="B1048531" s="5"/>
      <c r="C1048531" s="5"/>
      <c r="D1048531" s="3"/>
      <c r="E1048531" s="4"/>
      <c r="F1048531" s="4"/>
      <c r="G1048531" s="5"/>
      <c r="H1048531" s="5"/>
      <c r="I1048531" s="5"/>
      <c r="J1048531" s="5"/>
      <c r="K1048531" s="5"/>
      <c r="L1048531" s="5"/>
      <c r="M1048531" s="5"/>
      <c r="N1048531" s="5"/>
      <c r="O1048531" s="5"/>
      <c r="P1048531" s="3"/>
      <c r="Q1048531" s="3"/>
      <c r="R1048531" s="3"/>
      <c r="S1048531" s="3"/>
      <c r="T1048531" s="3"/>
      <c r="U1048531" s="5"/>
      <c r="V1048531" s="3"/>
    </row>
    <row r="1048532" customFormat="1" spans="1:22">
      <c r="A1048532" s="5"/>
      <c r="B1048532" s="5"/>
      <c r="C1048532" s="5"/>
      <c r="D1048532" s="3"/>
      <c r="E1048532" s="4"/>
      <c r="F1048532" s="4"/>
      <c r="G1048532" s="5"/>
      <c r="H1048532" s="5"/>
      <c r="I1048532" s="5"/>
      <c r="J1048532" s="5"/>
      <c r="K1048532" s="5"/>
      <c r="L1048532" s="5"/>
      <c r="M1048532" s="5"/>
      <c r="N1048532" s="5"/>
      <c r="O1048532" s="5"/>
      <c r="P1048532" s="3"/>
      <c r="Q1048532" s="3"/>
      <c r="R1048532" s="3"/>
      <c r="S1048532" s="3"/>
      <c r="T1048532" s="3"/>
      <c r="U1048532" s="5"/>
      <c r="V1048532" s="3"/>
    </row>
    <row r="1048533" customFormat="1" spans="1:22">
      <c r="A1048533" s="5"/>
      <c r="B1048533" s="5"/>
      <c r="C1048533" s="5"/>
      <c r="D1048533" s="3"/>
      <c r="E1048533" s="4"/>
      <c r="F1048533" s="4"/>
      <c r="G1048533" s="5"/>
      <c r="H1048533" s="5"/>
      <c r="I1048533" s="5"/>
      <c r="J1048533" s="5"/>
      <c r="K1048533" s="5"/>
      <c r="L1048533" s="5"/>
      <c r="M1048533" s="5"/>
      <c r="N1048533" s="5"/>
      <c r="O1048533" s="5"/>
      <c r="P1048533" s="3"/>
      <c r="Q1048533" s="3"/>
      <c r="R1048533" s="3"/>
      <c r="S1048533" s="3"/>
      <c r="T1048533" s="3"/>
      <c r="U1048533" s="5"/>
      <c r="V1048533" s="3"/>
    </row>
    <row r="1048534" customFormat="1" spans="1:22">
      <c r="A1048534" s="5"/>
      <c r="B1048534" s="5"/>
      <c r="C1048534" s="5"/>
      <c r="D1048534" s="3"/>
      <c r="E1048534" s="4"/>
      <c r="F1048534" s="4"/>
      <c r="G1048534" s="5"/>
      <c r="H1048534" s="5"/>
      <c r="I1048534" s="5"/>
      <c r="J1048534" s="5"/>
      <c r="K1048534" s="5"/>
      <c r="L1048534" s="5"/>
      <c r="M1048534" s="5"/>
      <c r="N1048534" s="5"/>
      <c r="O1048534" s="5"/>
      <c r="P1048534" s="3"/>
      <c r="Q1048534" s="3"/>
      <c r="R1048534" s="3"/>
      <c r="S1048534" s="3"/>
      <c r="T1048534" s="3"/>
      <c r="U1048534" s="5"/>
      <c r="V1048534" s="3"/>
    </row>
    <row r="1048535" customFormat="1" spans="1:22">
      <c r="A1048535" s="5"/>
      <c r="B1048535" s="5"/>
      <c r="C1048535" s="5"/>
      <c r="D1048535" s="3"/>
      <c r="E1048535" s="4"/>
      <c r="F1048535" s="4"/>
      <c r="G1048535" s="5"/>
      <c r="H1048535" s="5"/>
      <c r="I1048535" s="5"/>
      <c r="J1048535" s="5"/>
      <c r="K1048535" s="5"/>
      <c r="L1048535" s="5"/>
      <c r="M1048535" s="5"/>
      <c r="N1048535" s="5"/>
      <c r="O1048535" s="5"/>
      <c r="P1048535" s="3"/>
      <c r="Q1048535" s="3"/>
      <c r="R1048535" s="3"/>
      <c r="S1048535" s="3"/>
      <c r="T1048535" s="3"/>
      <c r="U1048535" s="5"/>
      <c r="V1048535" s="3"/>
    </row>
    <row r="1048536" customFormat="1" spans="1:22">
      <c r="A1048536" s="5"/>
      <c r="B1048536" s="5"/>
      <c r="C1048536" s="5"/>
      <c r="D1048536" s="3"/>
      <c r="E1048536" s="4"/>
      <c r="F1048536" s="4"/>
      <c r="G1048536" s="5"/>
      <c r="H1048536" s="5"/>
      <c r="I1048536" s="5"/>
      <c r="J1048536" s="5"/>
      <c r="K1048536" s="5"/>
      <c r="L1048536" s="5"/>
      <c r="M1048536" s="5"/>
      <c r="N1048536" s="5"/>
      <c r="O1048536" s="5"/>
      <c r="P1048536" s="3"/>
      <c r="Q1048536" s="3"/>
      <c r="R1048536" s="3"/>
      <c r="S1048536" s="3"/>
      <c r="T1048536" s="3"/>
      <c r="U1048536" s="5"/>
      <c r="V1048536" s="3"/>
    </row>
    <row r="1048537" customFormat="1" spans="1:22">
      <c r="A1048537" s="5"/>
      <c r="B1048537" s="5"/>
      <c r="C1048537" s="5"/>
      <c r="D1048537" s="3"/>
      <c r="E1048537" s="4"/>
      <c r="F1048537" s="4"/>
      <c r="G1048537" s="5"/>
      <c r="H1048537" s="5"/>
      <c r="I1048537" s="5"/>
      <c r="J1048537" s="5"/>
      <c r="K1048537" s="5"/>
      <c r="L1048537" s="5"/>
      <c r="M1048537" s="5"/>
      <c r="N1048537" s="5"/>
      <c r="O1048537" s="5"/>
      <c r="P1048537" s="3"/>
      <c r="Q1048537" s="3"/>
      <c r="R1048537" s="3"/>
      <c r="S1048537" s="3"/>
      <c r="T1048537" s="3"/>
      <c r="U1048537" s="5"/>
      <c r="V1048537" s="3"/>
    </row>
    <row r="1048538" customFormat="1" spans="1:22">
      <c r="A1048538" s="5"/>
      <c r="B1048538" s="5"/>
      <c r="C1048538" s="5"/>
      <c r="D1048538" s="3"/>
      <c r="E1048538" s="4"/>
      <c r="F1048538" s="4"/>
      <c r="G1048538" s="5"/>
      <c r="H1048538" s="5"/>
      <c r="I1048538" s="5"/>
      <c r="J1048538" s="5"/>
      <c r="K1048538" s="5"/>
      <c r="L1048538" s="5"/>
      <c r="M1048538" s="5"/>
      <c r="N1048538" s="5"/>
      <c r="O1048538" s="5"/>
      <c r="P1048538" s="3"/>
      <c r="Q1048538" s="3"/>
      <c r="R1048538" s="3"/>
      <c r="S1048538" s="3"/>
      <c r="T1048538" s="3"/>
      <c r="U1048538" s="5"/>
      <c r="V1048538" s="3"/>
    </row>
    <row r="1048539" customFormat="1" spans="1:22">
      <c r="A1048539" s="5"/>
      <c r="B1048539" s="5"/>
      <c r="C1048539" s="5"/>
      <c r="D1048539" s="3"/>
      <c r="E1048539" s="4"/>
      <c r="F1048539" s="4"/>
      <c r="G1048539" s="5"/>
      <c r="H1048539" s="5"/>
      <c r="I1048539" s="5"/>
      <c r="J1048539" s="5"/>
      <c r="K1048539" s="5"/>
      <c r="L1048539" s="5"/>
      <c r="M1048539" s="5"/>
      <c r="N1048539" s="5"/>
      <c r="O1048539" s="5"/>
      <c r="P1048539" s="3"/>
      <c r="Q1048539" s="3"/>
      <c r="R1048539" s="3"/>
      <c r="S1048539" s="3"/>
      <c r="T1048539" s="3"/>
      <c r="U1048539" s="5"/>
      <c r="V1048539" s="3"/>
    </row>
    <row r="1048540" customFormat="1" spans="1:22">
      <c r="A1048540" s="5"/>
      <c r="B1048540" s="5"/>
      <c r="C1048540" s="5"/>
      <c r="D1048540" s="3"/>
      <c r="E1048540" s="4"/>
      <c r="F1048540" s="4"/>
      <c r="G1048540" s="5"/>
      <c r="H1048540" s="5"/>
      <c r="I1048540" s="5"/>
      <c r="J1048540" s="5"/>
      <c r="K1048540" s="5"/>
      <c r="L1048540" s="5"/>
      <c r="M1048540" s="5"/>
      <c r="N1048540" s="5"/>
      <c r="O1048540" s="5"/>
      <c r="P1048540" s="3"/>
      <c r="Q1048540" s="3"/>
      <c r="R1048540" s="3"/>
      <c r="S1048540" s="3"/>
      <c r="T1048540" s="3"/>
      <c r="U1048540" s="5"/>
      <c r="V1048540" s="3"/>
    </row>
    <row r="1048541" customFormat="1" spans="1:22">
      <c r="A1048541" s="5"/>
      <c r="B1048541" s="5"/>
      <c r="C1048541" s="5"/>
      <c r="D1048541" s="3"/>
      <c r="E1048541" s="4"/>
      <c r="F1048541" s="4"/>
      <c r="G1048541" s="5"/>
      <c r="H1048541" s="5"/>
      <c r="I1048541" s="5"/>
      <c r="J1048541" s="5"/>
      <c r="K1048541" s="5"/>
      <c r="L1048541" s="5"/>
      <c r="M1048541" s="5"/>
      <c r="N1048541" s="5"/>
      <c r="O1048541" s="5"/>
      <c r="P1048541" s="3"/>
      <c r="Q1048541" s="3"/>
      <c r="R1048541" s="3"/>
      <c r="S1048541" s="3"/>
      <c r="T1048541" s="3"/>
      <c r="U1048541" s="5"/>
      <c r="V1048541" s="3"/>
    </row>
    <row r="1048542" customFormat="1" spans="1:22">
      <c r="A1048542" s="5"/>
      <c r="B1048542" s="5"/>
      <c r="C1048542" s="5"/>
      <c r="D1048542" s="3"/>
      <c r="E1048542" s="4"/>
      <c r="F1048542" s="4"/>
      <c r="G1048542" s="5"/>
      <c r="H1048542" s="5"/>
      <c r="I1048542" s="5"/>
      <c r="J1048542" s="5"/>
      <c r="K1048542" s="5"/>
      <c r="L1048542" s="5"/>
      <c r="M1048542" s="5"/>
      <c r="N1048542" s="5"/>
      <c r="O1048542" s="5"/>
      <c r="P1048542" s="3"/>
      <c r="Q1048542" s="3"/>
      <c r="R1048542" s="3"/>
      <c r="S1048542" s="3"/>
      <c r="T1048542" s="3"/>
      <c r="U1048542" s="5"/>
      <c r="V1048542" s="3"/>
    </row>
    <row r="1048543" customFormat="1" spans="1:22">
      <c r="A1048543" s="5"/>
      <c r="B1048543" s="5"/>
      <c r="C1048543" s="5"/>
      <c r="D1048543" s="3"/>
      <c r="E1048543" s="4"/>
      <c r="F1048543" s="4"/>
      <c r="G1048543" s="5"/>
      <c r="H1048543" s="5"/>
      <c r="I1048543" s="5"/>
      <c r="J1048543" s="5"/>
      <c r="K1048543" s="5"/>
      <c r="L1048543" s="5"/>
      <c r="M1048543" s="5"/>
      <c r="N1048543" s="5"/>
      <c r="O1048543" s="5"/>
      <c r="P1048543" s="3"/>
      <c r="Q1048543" s="3"/>
      <c r="R1048543" s="3"/>
      <c r="S1048543" s="3"/>
      <c r="T1048543" s="3"/>
      <c r="U1048543" s="5"/>
      <c r="V1048543" s="3"/>
    </row>
    <row r="1048544" customFormat="1" spans="1:22">
      <c r="A1048544" s="5"/>
      <c r="B1048544" s="5"/>
      <c r="C1048544" s="5"/>
      <c r="D1048544" s="3"/>
      <c r="E1048544" s="4"/>
      <c r="F1048544" s="4"/>
      <c r="G1048544" s="5"/>
      <c r="H1048544" s="5"/>
      <c r="I1048544" s="5"/>
      <c r="J1048544" s="5"/>
      <c r="K1048544" s="5"/>
      <c r="L1048544" s="5"/>
      <c r="M1048544" s="5"/>
      <c r="N1048544" s="5"/>
      <c r="O1048544" s="5"/>
      <c r="P1048544" s="3"/>
      <c r="Q1048544" s="3"/>
      <c r="R1048544" s="3"/>
      <c r="S1048544" s="3"/>
      <c r="T1048544" s="3"/>
      <c r="U1048544" s="5"/>
      <c r="V1048544" s="3"/>
    </row>
    <row r="1048545" customFormat="1" spans="1:22">
      <c r="A1048545" s="5"/>
      <c r="B1048545" s="5"/>
      <c r="C1048545" s="5"/>
      <c r="D1048545" s="3"/>
      <c r="E1048545" s="4"/>
      <c r="F1048545" s="4"/>
      <c r="G1048545" s="5"/>
      <c r="H1048545" s="5"/>
      <c r="I1048545" s="5"/>
      <c r="J1048545" s="5"/>
      <c r="K1048545" s="5"/>
      <c r="L1048545" s="5"/>
      <c r="M1048545" s="5"/>
      <c r="N1048545" s="5"/>
      <c r="O1048545" s="5"/>
      <c r="P1048545" s="3"/>
      <c r="Q1048545" s="3"/>
      <c r="R1048545" s="3"/>
      <c r="S1048545" s="3"/>
      <c r="T1048545" s="3"/>
      <c r="U1048545" s="5"/>
      <c r="V1048545" s="3"/>
    </row>
    <row r="1048546" customFormat="1" spans="1:22">
      <c r="A1048546" s="5"/>
      <c r="B1048546" s="5"/>
      <c r="C1048546" s="5"/>
      <c r="D1048546" s="3"/>
      <c r="E1048546" s="4"/>
      <c r="F1048546" s="4"/>
      <c r="G1048546" s="5"/>
      <c r="H1048546" s="5"/>
      <c r="I1048546" s="5"/>
      <c r="J1048546" s="5"/>
      <c r="K1048546" s="5"/>
      <c r="L1048546" s="5"/>
      <c r="M1048546" s="5"/>
      <c r="N1048546" s="5"/>
      <c r="O1048546" s="5"/>
      <c r="P1048546" s="3"/>
      <c r="Q1048546" s="3"/>
      <c r="R1048546" s="3"/>
      <c r="S1048546" s="3"/>
      <c r="T1048546" s="3"/>
      <c r="U1048546" s="5"/>
      <c r="V1048546" s="3"/>
    </row>
    <row r="1048547" customFormat="1" spans="1:22">
      <c r="A1048547" s="5"/>
      <c r="B1048547" s="5"/>
      <c r="C1048547" s="5"/>
      <c r="D1048547" s="3"/>
      <c r="E1048547" s="4"/>
      <c r="F1048547" s="4"/>
      <c r="G1048547" s="5"/>
      <c r="H1048547" s="5"/>
      <c r="I1048547" s="5"/>
      <c r="J1048547" s="5"/>
      <c r="K1048547" s="5"/>
      <c r="L1048547" s="5"/>
      <c r="M1048547" s="5"/>
      <c r="N1048547" s="5"/>
      <c r="O1048547" s="5"/>
      <c r="P1048547" s="3"/>
      <c r="Q1048547" s="3"/>
      <c r="R1048547" s="3"/>
      <c r="S1048547" s="3"/>
      <c r="T1048547" s="3"/>
      <c r="U1048547" s="5"/>
      <c r="V1048547" s="3"/>
    </row>
    <row r="1048548" customFormat="1" spans="1:22">
      <c r="A1048548" s="5"/>
      <c r="B1048548" s="5"/>
      <c r="C1048548" s="5"/>
      <c r="D1048548" s="3"/>
      <c r="E1048548" s="4"/>
      <c r="F1048548" s="4"/>
      <c r="G1048548" s="5"/>
      <c r="H1048548" s="5"/>
      <c r="I1048548" s="5"/>
      <c r="J1048548" s="5"/>
      <c r="K1048548" s="5"/>
      <c r="L1048548" s="5"/>
      <c r="M1048548" s="5"/>
      <c r="N1048548" s="5"/>
      <c r="O1048548" s="5"/>
      <c r="P1048548" s="3"/>
      <c r="Q1048548" s="3"/>
      <c r="R1048548" s="3"/>
      <c r="S1048548" s="3"/>
      <c r="T1048548" s="3"/>
      <c r="U1048548" s="5"/>
      <c r="V1048548" s="3"/>
    </row>
    <row r="1048549" customFormat="1" spans="1:22">
      <c r="A1048549" s="5"/>
      <c r="B1048549" s="5"/>
      <c r="C1048549" s="5"/>
      <c r="D1048549" s="3"/>
      <c r="E1048549" s="4"/>
      <c r="F1048549" s="4"/>
      <c r="G1048549" s="5"/>
      <c r="H1048549" s="5"/>
      <c r="I1048549" s="5"/>
      <c r="J1048549" s="5"/>
      <c r="K1048549" s="5"/>
      <c r="L1048549" s="5"/>
      <c r="M1048549" s="5"/>
      <c r="N1048549" s="5"/>
      <c r="O1048549" s="5"/>
      <c r="P1048549" s="3"/>
      <c r="Q1048549" s="3"/>
      <c r="R1048549" s="3"/>
      <c r="S1048549" s="3"/>
      <c r="T1048549" s="3"/>
      <c r="U1048549" s="5"/>
      <c r="V1048549" s="3"/>
    </row>
    <row r="1048550" customFormat="1" spans="1:22">
      <c r="A1048550" s="5"/>
      <c r="B1048550" s="5"/>
      <c r="C1048550" s="5"/>
      <c r="D1048550" s="3"/>
      <c r="E1048550" s="4"/>
      <c r="F1048550" s="4"/>
      <c r="G1048550" s="5"/>
      <c r="H1048550" s="5"/>
      <c r="I1048550" s="5"/>
      <c r="J1048550" s="5"/>
      <c r="K1048550" s="5"/>
      <c r="L1048550" s="5"/>
      <c r="M1048550" s="5"/>
      <c r="N1048550" s="5"/>
      <c r="O1048550" s="5"/>
      <c r="P1048550" s="3"/>
      <c r="Q1048550" s="3"/>
      <c r="R1048550" s="3"/>
      <c r="S1048550" s="3"/>
      <c r="T1048550" s="3"/>
      <c r="U1048550" s="5"/>
      <c r="V1048550" s="3"/>
    </row>
    <row r="1048551" customFormat="1" spans="1:22">
      <c r="A1048551" s="5"/>
      <c r="B1048551" s="5"/>
      <c r="C1048551" s="5"/>
      <c r="D1048551" s="3"/>
      <c r="E1048551" s="4"/>
      <c r="F1048551" s="4"/>
      <c r="G1048551" s="5"/>
      <c r="H1048551" s="5"/>
      <c r="I1048551" s="5"/>
      <c r="J1048551" s="5"/>
      <c r="K1048551" s="5"/>
      <c r="L1048551" s="5"/>
      <c r="M1048551" s="5"/>
      <c r="N1048551" s="5"/>
      <c r="O1048551" s="5"/>
      <c r="P1048551" s="3"/>
      <c r="Q1048551" s="3"/>
      <c r="R1048551" s="3"/>
      <c r="S1048551" s="3"/>
      <c r="T1048551" s="3"/>
      <c r="U1048551" s="5"/>
      <c r="V1048551" s="3"/>
    </row>
    <row r="1048552" customFormat="1" spans="1:22">
      <c r="A1048552" s="5"/>
      <c r="B1048552" s="5"/>
      <c r="C1048552" s="5"/>
      <c r="D1048552" s="3"/>
      <c r="E1048552" s="4"/>
      <c r="F1048552" s="4"/>
      <c r="G1048552" s="5"/>
      <c r="H1048552" s="5"/>
      <c r="I1048552" s="5"/>
      <c r="J1048552" s="5"/>
      <c r="K1048552" s="5"/>
      <c r="L1048552" s="5"/>
      <c r="M1048552" s="5"/>
      <c r="N1048552" s="5"/>
      <c r="O1048552" s="5"/>
      <c r="P1048552" s="3"/>
      <c r="Q1048552" s="3"/>
      <c r="R1048552" s="3"/>
      <c r="S1048552" s="3"/>
      <c r="T1048552" s="3"/>
      <c r="U1048552" s="5"/>
      <c r="V1048552" s="3"/>
    </row>
    <row r="1048553" customFormat="1" spans="1:22">
      <c r="A1048553" s="5"/>
      <c r="B1048553" s="5"/>
      <c r="C1048553" s="5"/>
      <c r="D1048553" s="3"/>
      <c r="E1048553" s="4"/>
      <c r="F1048553" s="4"/>
      <c r="G1048553" s="5"/>
      <c r="H1048553" s="5"/>
      <c r="I1048553" s="5"/>
      <c r="J1048553" s="5"/>
      <c r="K1048553" s="5"/>
      <c r="L1048553" s="5"/>
      <c r="M1048553" s="5"/>
      <c r="N1048553" s="5"/>
      <c r="O1048553" s="5"/>
      <c r="P1048553" s="3"/>
      <c r="Q1048553" s="3"/>
      <c r="R1048553" s="3"/>
      <c r="S1048553" s="3"/>
      <c r="T1048553" s="3"/>
      <c r="U1048553" s="5"/>
      <c r="V1048553" s="3"/>
    </row>
    <row r="1048554" customFormat="1" spans="1:22">
      <c r="A1048554" s="5"/>
      <c r="B1048554" s="5"/>
      <c r="C1048554" s="5"/>
      <c r="D1048554" s="3"/>
      <c r="E1048554" s="4"/>
      <c r="F1048554" s="4"/>
      <c r="G1048554" s="5"/>
      <c r="H1048554" s="5"/>
      <c r="I1048554" s="5"/>
      <c r="J1048554" s="5"/>
      <c r="K1048554" s="5"/>
      <c r="L1048554" s="5"/>
      <c r="M1048554" s="5"/>
      <c r="N1048554" s="5"/>
      <c r="O1048554" s="5"/>
      <c r="P1048554" s="3"/>
      <c r="Q1048554" s="3"/>
      <c r="R1048554" s="3"/>
      <c r="S1048554" s="3"/>
      <c r="T1048554" s="3"/>
      <c r="U1048554" s="5"/>
      <c r="V1048554" s="3"/>
    </row>
    <row r="1048555" customFormat="1" spans="1:22">
      <c r="A1048555" s="5"/>
      <c r="B1048555" s="5"/>
      <c r="C1048555" s="5"/>
      <c r="D1048555" s="3"/>
      <c r="E1048555" s="4"/>
      <c r="F1048555" s="4"/>
      <c r="G1048555" s="5"/>
      <c r="H1048555" s="5"/>
      <c r="I1048555" s="5"/>
      <c r="J1048555" s="5"/>
      <c r="K1048555" s="5"/>
      <c r="L1048555" s="5"/>
      <c r="M1048555" s="5"/>
      <c r="N1048555" s="5"/>
      <c r="O1048555" s="5"/>
      <c r="P1048555" s="3"/>
      <c r="Q1048555" s="3"/>
      <c r="R1048555" s="3"/>
      <c r="S1048555" s="3"/>
      <c r="T1048555" s="3"/>
      <c r="U1048555" s="5"/>
      <c r="V1048555" s="3"/>
    </row>
    <row r="1048556" customFormat="1" spans="1:22">
      <c r="A1048556" s="5"/>
      <c r="B1048556" s="5"/>
      <c r="C1048556" s="5"/>
      <c r="D1048556" s="3"/>
      <c r="E1048556" s="4"/>
      <c r="F1048556" s="4"/>
      <c r="G1048556" s="5"/>
      <c r="H1048556" s="5"/>
      <c r="I1048556" s="5"/>
      <c r="J1048556" s="5"/>
      <c r="K1048556" s="5"/>
      <c r="L1048556" s="5"/>
      <c r="M1048556" s="5"/>
      <c r="N1048556" s="5"/>
      <c r="O1048556" s="5"/>
      <c r="P1048556" s="3"/>
      <c r="Q1048556" s="3"/>
      <c r="R1048556" s="3"/>
      <c r="S1048556" s="3"/>
      <c r="T1048556" s="3"/>
      <c r="U1048556" s="5"/>
      <c r="V1048556" s="3"/>
    </row>
    <row r="1048557" customFormat="1" spans="1:22">
      <c r="A1048557" s="5"/>
      <c r="B1048557" s="5"/>
      <c r="C1048557" s="5"/>
      <c r="D1048557" s="3"/>
      <c r="E1048557" s="4"/>
      <c r="F1048557" s="4"/>
      <c r="G1048557" s="5"/>
      <c r="H1048557" s="5"/>
      <c r="I1048557" s="5"/>
      <c r="J1048557" s="5"/>
      <c r="K1048557" s="5"/>
      <c r="L1048557" s="5"/>
      <c r="M1048557" s="5"/>
      <c r="N1048557" s="5"/>
      <c r="O1048557" s="5"/>
      <c r="P1048557" s="3"/>
      <c r="Q1048557" s="3"/>
      <c r="R1048557" s="3"/>
      <c r="S1048557" s="3"/>
      <c r="T1048557" s="3"/>
      <c r="U1048557" s="5"/>
      <c r="V1048557" s="3"/>
    </row>
    <row r="1048558" customFormat="1" spans="1:22">
      <c r="A1048558" s="5"/>
      <c r="B1048558" s="5"/>
      <c r="C1048558" s="5"/>
      <c r="D1048558" s="3"/>
      <c r="E1048558" s="4"/>
      <c r="F1048558" s="4"/>
      <c r="G1048558" s="5"/>
      <c r="H1048558" s="5"/>
      <c r="I1048558" s="5"/>
      <c r="J1048558" s="5"/>
      <c r="K1048558" s="5"/>
      <c r="L1048558" s="5"/>
      <c r="M1048558" s="5"/>
      <c r="N1048558" s="5"/>
      <c r="O1048558" s="5"/>
      <c r="P1048558" s="3"/>
      <c r="Q1048558" s="3"/>
      <c r="R1048558" s="3"/>
      <c r="S1048558" s="3"/>
      <c r="T1048558" s="3"/>
      <c r="U1048558" s="5"/>
      <c r="V1048558" s="3"/>
    </row>
    <row r="1048559" customFormat="1" spans="1:22">
      <c r="A1048559" s="5"/>
      <c r="B1048559" s="5"/>
      <c r="C1048559" s="5"/>
      <c r="D1048559" s="3"/>
      <c r="E1048559" s="4"/>
      <c r="F1048559" s="4"/>
      <c r="G1048559" s="5"/>
      <c r="H1048559" s="5"/>
      <c r="I1048559" s="5"/>
      <c r="J1048559" s="5"/>
      <c r="K1048559" s="5"/>
      <c r="L1048559" s="5"/>
      <c r="M1048559" s="5"/>
      <c r="N1048559" s="5"/>
      <c r="O1048559" s="5"/>
      <c r="P1048559" s="3"/>
      <c r="Q1048559" s="3"/>
      <c r="R1048559" s="3"/>
      <c r="S1048559" s="3"/>
      <c r="T1048559" s="3"/>
      <c r="U1048559" s="5"/>
      <c r="V1048559" s="3"/>
    </row>
    <row r="1048560" customFormat="1" spans="1:22">
      <c r="A1048560" s="5"/>
      <c r="B1048560" s="5"/>
      <c r="C1048560" s="5"/>
      <c r="D1048560" s="3"/>
      <c r="E1048560" s="4"/>
      <c r="F1048560" s="4"/>
      <c r="G1048560" s="5"/>
      <c r="H1048560" s="5"/>
      <c r="I1048560" s="5"/>
      <c r="J1048560" s="5"/>
      <c r="K1048560" s="5"/>
      <c r="L1048560" s="5"/>
      <c r="M1048560" s="5"/>
      <c r="N1048560" s="5"/>
      <c r="O1048560" s="5"/>
      <c r="P1048560" s="3"/>
      <c r="Q1048560" s="3"/>
      <c r="R1048560" s="3"/>
      <c r="S1048560" s="3"/>
      <c r="T1048560" s="3"/>
      <c r="U1048560" s="5"/>
      <c r="V1048560" s="3"/>
    </row>
    <row r="1048561" customFormat="1" spans="1:22">
      <c r="A1048561" s="5"/>
      <c r="B1048561" s="5"/>
      <c r="C1048561" s="5"/>
      <c r="D1048561" s="3"/>
      <c r="E1048561" s="4"/>
      <c r="F1048561" s="4"/>
      <c r="G1048561" s="5"/>
      <c r="H1048561" s="5"/>
      <c r="I1048561" s="5"/>
      <c r="J1048561" s="5"/>
      <c r="K1048561" s="5"/>
      <c r="L1048561" s="5"/>
      <c r="M1048561" s="5"/>
      <c r="N1048561" s="5"/>
      <c r="O1048561" s="5"/>
      <c r="P1048561" s="3"/>
      <c r="Q1048561" s="3"/>
      <c r="R1048561" s="3"/>
      <c r="S1048561" s="3"/>
      <c r="T1048561" s="3"/>
      <c r="U1048561" s="5"/>
      <c r="V1048561" s="3"/>
    </row>
    <row r="1048562" customFormat="1" spans="1:22">
      <c r="A1048562" s="5"/>
      <c r="B1048562" s="5"/>
      <c r="C1048562" s="5"/>
      <c r="D1048562" s="3"/>
      <c r="E1048562" s="4"/>
      <c r="F1048562" s="4"/>
      <c r="G1048562" s="5"/>
      <c r="H1048562" s="5"/>
      <c r="I1048562" s="5"/>
      <c r="J1048562" s="5"/>
      <c r="K1048562" s="5"/>
      <c r="L1048562" s="5"/>
      <c r="M1048562" s="5"/>
      <c r="N1048562" s="5"/>
      <c r="O1048562" s="5"/>
      <c r="P1048562" s="3"/>
      <c r="Q1048562" s="3"/>
      <c r="R1048562" s="3"/>
      <c r="S1048562" s="3"/>
      <c r="T1048562" s="3"/>
      <c r="U1048562" s="5"/>
      <c r="V1048562" s="3"/>
    </row>
    <row r="1048563" customFormat="1" spans="1:22">
      <c r="A1048563" s="5"/>
      <c r="B1048563" s="5"/>
      <c r="C1048563" s="5"/>
      <c r="D1048563" s="3"/>
      <c r="E1048563" s="4"/>
      <c r="F1048563" s="4"/>
      <c r="G1048563" s="5"/>
      <c r="H1048563" s="5"/>
      <c r="I1048563" s="5"/>
      <c r="J1048563" s="5"/>
      <c r="K1048563" s="5"/>
      <c r="L1048563" s="5"/>
      <c r="M1048563" s="5"/>
      <c r="N1048563" s="5"/>
      <c r="O1048563" s="5"/>
      <c r="P1048563" s="3"/>
      <c r="Q1048563" s="3"/>
      <c r="R1048563" s="3"/>
      <c r="S1048563" s="3"/>
      <c r="T1048563" s="3"/>
      <c r="U1048563" s="5"/>
      <c r="V1048563" s="3"/>
    </row>
    <row r="1048564" customFormat="1" spans="1:22">
      <c r="A1048564" s="5"/>
      <c r="B1048564" s="5"/>
      <c r="C1048564" s="5"/>
      <c r="D1048564" s="3"/>
      <c r="E1048564" s="4"/>
      <c r="F1048564" s="4"/>
      <c r="G1048564" s="5"/>
      <c r="H1048564" s="5"/>
      <c r="I1048564" s="5"/>
      <c r="J1048564" s="5"/>
      <c r="K1048564" s="5"/>
      <c r="L1048564" s="5"/>
      <c r="M1048564" s="5"/>
      <c r="N1048564" s="5"/>
      <c r="O1048564" s="5"/>
      <c r="P1048564" s="3"/>
      <c r="Q1048564" s="3"/>
      <c r="R1048564" s="3"/>
      <c r="S1048564" s="3"/>
      <c r="T1048564" s="3"/>
      <c r="U1048564" s="5"/>
      <c r="V1048564" s="3"/>
    </row>
    <row r="1048565" customFormat="1" spans="1:22">
      <c r="A1048565" s="5"/>
      <c r="B1048565" s="5"/>
      <c r="C1048565" s="5"/>
      <c r="D1048565" s="3"/>
      <c r="E1048565" s="4"/>
      <c r="F1048565" s="4"/>
      <c r="G1048565" s="5"/>
      <c r="H1048565" s="5"/>
      <c r="I1048565" s="5"/>
      <c r="J1048565" s="5"/>
      <c r="K1048565" s="5"/>
      <c r="L1048565" s="5"/>
      <c r="M1048565" s="5"/>
      <c r="N1048565" s="5"/>
      <c r="O1048565" s="5"/>
      <c r="P1048565" s="3"/>
      <c r="Q1048565" s="3"/>
      <c r="R1048565" s="3"/>
      <c r="S1048565" s="3"/>
      <c r="T1048565" s="3"/>
      <c r="U1048565" s="5"/>
      <c r="V1048565" s="3"/>
    </row>
    <row r="1048566" customFormat="1" spans="1:22">
      <c r="A1048566" s="5"/>
      <c r="B1048566" s="5"/>
      <c r="C1048566" s="5"/>
      <c r="D1048566" s="3"/>
      <c r="E1048566" s="4"/>
      <c r="F1048566" s="4"/>
      <c r="G1048566" s="5"/>
      <c r="H1048566" s="5"/>
      <c r="I1048566" s="5"/>
      <c r="J1048566" s="5"/>
      <c r="K1048566" s="5"/>
      <c r="L1048566" s="5"/>
      <c r="M1048566" s="5"/>
      <c r="N1048566" s="5"/>
      <c r="O1048566" s="5"/>
      <c r="P1048566" s="3"/>
      <c r="Q1048566" s="3"/>
      <c r="R1048566" s="3"/>
      <c r="S1048566" s="3"/>
      <c r="T1048566" s="3"/>
      <c r="U1048566" s="5"/>
      <c r="V1048566" s="3"/>
    </row>
    <row r="1048567" customFormat="1" spans="1:22">
      <c r="A1048567" s="5"/>
      <c r="B1048567" s="5"/>
      <c r="C1048567" s="5"/>
      <c r="D1048567" s="3"/>
      <c r="E1048567" s="4"/>
      <c r="F1048567" s="4"/>
      <c r="G1048567" s="5"/>
      <c r="H1048567" s="5"/>
      <c r="I1048567" s="5"/>
      <c r="J1048567" s="5"/>
      <c r="K1048567" s="5"/>
      <c r="L1048567" s="5"/>
      <c r="M1048567" s="5"/>
      <c r="N1048567" s="5"/>
      <c r="O1048567" s="5"/>
      <c r="P1048567" s="3"/>
      <c r="Q1048567" s="3"/>
      <c r="R1048567" s="3"/>
      <c r="S1048567" s="3"/>
      <c r="T1048567" s="3"/>
      <c r="U1048567" s="5"/>
      <c r="V1048567" s="3"/>
    </row>
    <row r="1048568" customFormat="1" spans="1:22">
      <c r="A1048568" s="5"/>
      <c r="B1048568" s="5"/>
      <c r="C1048568" s="5"/>
      <c r="D1048568" s="3"/>
      <c r="E1048568" s="4"/>
      <c r="F1048568" s="4"/>
      <c r="G1048568" s="5"/>
      <c r="H1048568" s="5"/>
      <c r="I1048568" s="5"/>
      <c r="J1048568" s="5"/>
      <c r="K1048568" s="5"/>
      <c r="L1048568" s="5"/>
      <c r="M1048568" s="5"/>
      <c r="N1048568" s="5"/>
      <c r="O1048568" s="5"/>
      <c r="P1048568" s="3"/>
      <c r="Q1048568" s="3"/>
      <c r="R1048568" s="3"/>
      <c r="S1048568" s="3"/>
      <c r="T1048568" s="3"/>
      <c r="U1048568" s="5"/>
      <c r="V1048568" s="3"/>
    </row>
    <row r="1048569" customFormat="1" spans="1:22">
      <c r="A1048569" s="5"/>
      <c r="B1048569" s="5"/>
      <c r="C1048569" s="5"/>
      <c r="D1048569" s="3"/>
      <c r="E1048569" s="4"/>
      <c r="F1048569" s="4"/>
      <c r="G1048569" s="5"/>
      <c r="H1048569" s="5"/>
      <c r="I1048569" s="5"/>
      <c r="J1048569" s="5"/>
      <c r="K1048569" s="5"/>
      <c r="L1048569" s="5"/>
      <c r="M1048569" s="5"/>
      <c r="N1048569" s="5"/>
      <c r="O1048569" s="5"/>
      <c r="P1048569" s="3"/>
      <c r="Q1048569" s="3"/>
      <c r="R1048569" s="3"/>
      <c r="S1048569" s="3"/>
      <c r="T1048569" s="3"/>
      <c r="U1048569" s="5"/>
      <c r="V1048569" s="3"/>
    </row>
    <row r="1048570" customFormat="1" spans="1:22">
      <c r="A1048570" s="5"/>
      <c r="B1048570" s="5"/>
      <c r="C1048570" s="5"/>
      <c r="D1048570" s="3"/>
      <c r="E1048570" s="4"/>
      <c r="F1048570" s="4"/>
      <c r="G1048570" s="5"/>
      <c r="H1048570" s="5"/>
      <c r="I1048570" s="5"/>
      <c r="J1048570" s="5"/>
      <c r="K1048570" s="5"/>
      <c r="L1048570" s="5"/>
      <c r="M1048570" s="5"/>
      <c r="N1048570" s="5"/>
      <c r="O1048570" s="5"/>
      <c r="P1048570" s="3"/>
      <c r="Q1048570" s="3"/>
      <c r="R1048570" s="3"/>
      <c r="S1048570" s="3"/>
      <c r="T1048570" s="3"/>
      <c r="U1048570" s="5"/>
      <c r="V1048570" s="3"/>
    </row>
    <row r="1048571" customFormat="1" spans="1:22">
      <c r="A1048571" s="5"/>
      <c r="B1048571" s="5"/>
      <c r="C1048571" s="5"/>
      <c r="D1048571" s="3"/>
      <c r="E1048571" s="4"/>
      <c r="F1048571" s="4"/>
      <c r="G1048571" s="5"/>
      <c r="H1048571" s="5"/>
      <c r="I1048571" s="5"/>
      <c r="J1048571" s="5"/>
      <c r="K1048571" s="5"/>
      <c r="L1048571" s="5"/>
      <c r="M1048571" s="5"/>
      <c r="N1048571" s="5"/>
      <c r="O1048571" s="5"/>
      <c r="P1048571" s="3"/>
      <c r="Q1048571" s="3"/>
      <c r="R1048571" s="3"/>
      <c r="S1048571" s="3"/>
      <c r="T1048571" s="3"/>
      <c r="U1048571" s="5"/>
      <c r="V1048571" s="3"/>
    </row>
    <row r="1048572" customFormat="1" spans="1:22">
      <c r="A1048572" s="5"/>
      <c r="B1048572" s="5"/>
      <c r="C1048572" s="5"/>
      <c r="D1048572" s="3"/>
      <c r="E1048572" s="4"/>
      <c r="F1048572" s="4"/>
      <c r="G1048572" s="5"/>
      <c r="H1048572" s="5"/>
      <c r="I1048572" s="5"/>
      <c r="J1048572" s="5"/>
      <c r="K1048572" s="5"/>
      <c r="L1048572" s="5"/>
      <c r="M1048572" s="5"/>
      <c r="N1048572" s="5"/>
      <c r="O1048572" s="5"/>
      <c r="P1048572" s="3"/>
      <c r="Q1048572" s="3"/>
      <c r="R1048572" s="3"/>
      <c r="S1048572" s="3"/>
      <c r="T1048572" s="3"/>
      <c r="U1048572" s="5"/>
      <c r="V1048572" s="3"/>
    </row>
    <row r="1048573" customFormat="1" spans="1:22">
      <c r="A1048573" s="5"/>
      <c r="B1048573" s="5"/>
      <c r="C1048573" s="5"/>
      <c r="D1048573" s="3"/>
      <c r="E1048573" s="4"/>
      <c r="F1048573" s="4"/>
      <c r="G1048573" s="5"/>
      <c r="H1048573" s="5"/>
      <c r="I1048573" s="5"/>
      <c r="J1048573" s="5"/>
      <c r="K1048573" s="5"/>
      <c r="L1048573" s="5"/>
      <c r="M1048573" s="5"/>
      <c r="N1048573" s="5"/>
      <c r="O1048573" s="5"/>
      <c r="P1048573" s="3"/>
      <c r="Q1048573" s="3"/>
      <c r="R1048573" s="3"/>
      <c r="S1048573" s="3"/>
      <c r="T1048573" s="3"/>
      <c r="U1048573" s="5"/>
      <c r="V1048573" s="3"/>
    </row>
    <row r="1048574" customFormat="1" spans="1:22">
      <c r="A1048574" s="5"/>
      <c r="B1048574" s="5"/>
      <c r="C1048574" s="5"/>
      <c r="D1048574" s="3"/>
      <c r="E1048574" s="4"/>
      <c r="F1048574" s="4"/>
      <c r="G1048574" s="5"/>
      <c r="H1048574" s="5"/>
      <c r="I1048574" s="5"/>
      <c r="J1048574" s="5"/>
      <c r="K1048574" s="5"/>
      <c r="L1048574" s="5"/>
      <c r="M1048574" s="5"/>
      <c r="N1048574" s="5"/>
      <c r="O1048574" s="5"/>
      <c r="P1048574" s="3"/>
      <c r="Q1048574" s="3"/>
      <c r="R1048574" s="3"/>
      <c r="S1048574" s="3"/>
      <c r="T1048574" s="3"/>
      <c r="U1048574" s="5"/>
      <c r="V1048574" s="3"/>
    </row>
    <row r="1048575" customFormat="1" spans="1:22">
      <c r="A1048575" s="5"/>
      <c r="B1048575" s="5"/>
      <c r="C1048575" s="5"/>
      <c r="D1048575" s="3"/>
      <c r="E1048575" s="4"/>
      <c r="F1048575" s="4"/>
      <c r="G1048575" s="5"/>
      <c r="H1048575" s="5"/>
      <c r="I1048575" s="5"/>
      <c r="J1048575" s="5"/>
      <c r="K1048575" s="5"/>
      <c r="L1048575" s="5"/>
      <c r="M1048575" s="5"/>
      <c r="N1048575" s="5"/>
      <c r="O1048575" s="5"/>
      <c r="P1048575" s="3"/>
      <c r="Q1048575" s="3"/>
      <c r="R1048575" s="3"/>
      <c r="S1048575" s="3"/>
      <c r="T1048575" s="3"/>
      <c r="U1048575" s="5"/>
      <c r="V1048575" s="3"/>
    </row>
    <row r="1048576" customFormat="1" spans="1:22">
      <c r="A1048576" s="5"/>
      <c r="B1048576" s="5"/>
      <c r="C1048576" s="5"/>
      <c r="D1048576" s="3"/>
      <c r="E1048576" s="4"/>
      <c r="F1048576" s="4"/>
      <c r="G1048576" s="5"/>
      <c r="H1048576" s="5"/>
      <c r="I1048576" s="5"/>
      <c r="J1048576" s="5"/>
      <c r="K1048576" s="5"/>
      <c r="L1048576" s="5"/>
      <c r="M1048576" s="5"/>
      <c r="N1048576" s="5"/>
      <c r="O1048576" s="5"/>
      <c r="P1048576" s="3"/>
      <c r="Q1048576" s="3"/>
      <c r="R1048576" s="3"/>
      <c r="S1048576" s="3"/>
      <c r="T1048576" s="3"/>
      <c r="U1048576" s="5"/>
      <c r="V1048576" s="3"/>
    </row>
  </sheetData>
  <autoFilter xmlns:etc="http://www.wps.cn/officeDocument/2017/etCustomData" ref="A1:V283" etc:filterBottomFollowUsedRange="0">
    <extLst/>
  </autoFilter>
  <sortState ref="A2:W283">
    <sortCondition ref="A2:A28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451例训练集</vt:lpstr>
      <vt:lpstr>282例验证集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Qiuyu Guo</cp:lastModifiedBy>
  <dcterms:created xsi:type="dcterms:W3CDTF">2023-06-29T15:16:00Z</dcterms:created>
  <dcterms:modified xsi:type="dcterms:W3CDTF">2025-10-12T09:10:03Z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9D89F6DFDF6D45409CD48ADF9C8C7CDE_13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